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/>
  <mc:AlternateContent xmlns:mc="http://schemas.openxmlformats.org/markup-compatibility/2006">
    <mc:Choice Requires="x15">
      <x15ac:absPath xmlns:x15ac="http://schemas.microsoft.com/office/spreadsheetml/2010/11/ac" url="C:\Users\pvalouch\Dropbox\new Tsunami\2023-2024\"/>
    </mc:Choice>
  </mc:AlternateContent>
  <xr:revisionPtr revIDLastSave="0" documentId="13_ncr:1_{1759E9C7-3B5E-41E2-8B5E-4F3D84257E9D}" xr6:coauthVersionLast="36" xr6:coauthVersionMax="36" xr10:uidLastSave="{00000000-0000-0000-0000-000000000000}"/>
  <workbookProtection workbookAlgorithmName="SHA-512" workbookHashValue="FXe0EaNQFONeV0BI5E7p8XfNqz0anoweDngDYLsFkgRdiVyzv2V4P8hG7oxKyZNWUceYguo7uatR5lBRcBiNig==" workbookSaltValue="3WT/17kHhNVoQJ7+yMn53w==" workbookSpinCount="100000" lockStructure="1"/>
  <bookViews>
    <workbookView xWindow="0" yWindow="0" windowWidth="28800" windowHeight="11835" firstSheet="1" activeTab="7" xr2:uid="{00000000-000D-0000-FFFF-FFFF00000000}"/>
  </bookViews>
  <sheets>
    <sheet name="Master sheet - do not change" sheetId="14" r:id="rId1"/>
    <sheet name="START HERE" sheetId="15" r:id="rId2"/>
    <sheet name="Allocation" sheetId="9" r:id="rId3"/>
    <sheet name="Prem Mix" sheetId="3" r:id="rId4"/>
    <sheet name="Master Mix" sheetId="16" r:id="rId5"/>
    <sheet name="Prem Open" sheetId="17" r:id="rId6"/>
    <sheet name="Prem Women" sheetId="18" r:id="rId7"/>
    <sheet name="To print" sheetId="7" r:id="rId8"/>
    <sheet name="For Paul" sheetId="8" r:id="rId9"/>
  </sheets>
  <definedNames>
    <definedName name="_xlnm.Print_Area" localSheetId="7">'To print'!$B$3:$L$93</definedName>
  </definedNames>
  <calcPr calcId="191029"/>
</workbook>
</file>

<file path=xl/calcChain.xml><?xml version="1.0" encoding="utf-8"?>
<calcChain xmlns="http://schemas.openxmlformats.org/spreadsheetml/2006/main">
  <c r="I49" i="3" l="1"/>
  <c r="I50" i="3"/>
  <c r="I51" i="3"/>
  <c r="I52" i="3"/>
  <c r="I53" i="3"/>
  <c r="I54" i="3"/>
  <c r="I55" i="3"/>
  <c r="I56" i="3"/>
  <c r="I57" i="3"/>
  <c r="C50" i="14"/>
  <c r="C46" i="14" l="1"/>
  <c r="D46" i="14" s="1"/>
  <c r="C38" i="14" l="1"/>
  <c r="D38" i="14" s="1"/>
  <c r="C8" i="14" l="1"/>
  <c r="D8" i="14" s="1"/>
  <c r="C40" i="14" l="1"/>
  <c r="D40" i="14" s="1"/>
  <c r="C41" i="14"/>
  <c r="D41" i="14" s="1"/>
  <c r="C39" i="14"/>
  <c r="D39" i="14" s="1"/>
  <c r="C43" i="14" l="1"/>
  <c r="D43" i="14" s="1"/>
  <c r="C5" i="14" l="1"/>
  <c r="D5" i="14" s="1"/>
  <c r="C6" i="14"/>
  <c r="D6" i="14" s="1"/>
  <c r="C7" i="14"/>
  <c r="D7" i="14" s="1"/>
  <c r="C9" i="14"/>
  <c r="D9" i="14" s="1"/>
  <c r="C10" i="14"/>
  <c r="D10" i="14" s="1"/>
  <c r="C11" i="14"/>
  <c r="D11" i="14" s="1"/>
  <c r="C12" i="14"/>
  <c r="D12" i="14" s="1"/>
  <c r="C13" i="14"/>
  <c r="D13" i="14" s="1"/>
  <c r="C14" i="14"/>
  <c r="D14" i="14" s="1"/>
  <c r="C15" i="14"/>
  <c r="D15" i="14" s="1"/>
  <c r="C16" i="14"/>
  <c r="D16" i="14" s="1"/>
  <c r="C52" i="14"/>
  <c r="D52" i="14" s="1"/>
  <c r="C17" i="14"/>
  <c r="D17" i="14" s="1"/>
  <c r="C18" i="14"/>
  <c r="D18" i="14" s="1"/>
  <c r="C19" i="14"/>
  <c r="D19" i="14" s="1"/>
  <c r="C20" i="14"/>
  <c r="D20" i="14" s="1"/>
  <c r="C21" i="14"/>
  <c r="D21" i="14" s="1"/>
  <c r="C22" i="14"/>
  <c r="D22" i="14" s="1"/>
  <c r="C23" i="14"/>
  <c r="D23" i="14" s="1"/>
  <c r="C24" i="14"/>
  <c r="D24" i="14" s="1"/>
  <c r="C25" i="14"/>
  <c r="D25" i="14" s="1"/>
  <c r="C26" i="14"/>
  <c r="D26" i="14" s="1"/>
  <c r="C27" i="14"/>
  <c r="D27" i="14" s="1"/>
  <c r="C28" i="14"/>
  <c r="D28" i="14" s="1"/>
  <c r="C29" i="14"/>
  <c r="D29" i="14" s="1"/>
  <c r="C30" i="14"/>
  <c r="D30" i="14" s="1"/>
  <c r="C31" i="14"/>
  <c r="D31" i="14" s="1"/>
  <c r="C32" i="14"/>
  <c r="D32" i="14" s="1"/>
  <c r="C33" i="14"/>
  <c r="D33" i="14" s="1"/>
  <c r="C34" i="14"/>
  <c r="D34" i="14" s="1"/>
  <c r="C35" i="14"/>
  <c r="D35" i="14" s="1"/>
  <c r="C36" i="14"/>
  <c r="D36" i="14" s="1"/>
  <c r="C37" i="14"/>
  <c r="D37" i="14" s="1"/>
  <c r="C42" i="14"/>
  <c r="D42" i="14" s="1"/>
  <c r="C44" i="14"/>
  <c r="D44" i="14" s="1"/>
  <c r="C45" i="14"/>
  <c r="D45" i="14" s="1"/>
  <c r="C54" i="14"/>
  <c r="D54" i="14" s="1"/>
  <c r="C53" i="14"/>
  <c r="D53" i="14" s="1"/>
  <c r="C49" i="14"/>
  <c r="D49" i="14" s="1"/>
  <c r="D50" i="14"/>
  <c r="C51" i="14"/>
  <c r="D51" i="14" s="1"/>
  <c r="C47" i="14"/>
  <c r="D47" i="14" s="1"/>
  <c r="C4" i="14"/>
  <c r="D4" i="14" s="1"/>
  <c r="K90" i="7"/>
  <c r="K91" i="7"/>
  <c r="K92" i="7"/>
  <c r="K89" i="7"/>
  <c r="L77" i="7"/>
  <c r="L78" i="7"/>
  <c r="L79" i="7"/>
  <c r="L80" i="7"/>
  <c r="L81" i="7"/>
  <c r="L82" i="7"/>
  <c r="L83" i="7"/>
  <c r="L84" i="7"/>
  <c r="L85" i="7"/>
  <c r="L76" i="7"/>
  <c r="K76" i="7"/>
  <c r="K77" i="7"/>
  <c r="K78" i="7"/>
  <c r="K79" i="7"/>
  <c r="K80" i="7"/>
  <c r="K81" i="7"/>
  <c r="K82" i="7"/>
  <c r="K83" i="7"/>
  <c r="K84" i="7"/>
  <c r="K85" i="7"/>
  <c r="K86" i="7"/>
  <c r="K75" i="7"/>
  <c r="G90" i="7"/>
  <c r="G91" i="7"/>
  <c r="G92" i="7"/>
  <c r="G89" i="7"/>
  <c r="H77" i="7"/>
  <c r="H78" i="7"/>
  <c r="H79" i="7"/>
  <c r="H80" i="7"/>
  <c r="H81" i="7"/>
  <c r="H82" i="7"/>
  <c r="H83" i="7"/>
  <c r="H84" i="7"/>
  <c r="H85" i="7"/>
  <c r="H76" i="7"/>
  <c r="G76" i="7"/>
  <c r="G77" i="7"/>
  <c r="G78" i="7"/>
  <c r="G79" i="7"/>
  <c r="G80" i="7"/>
  <c r="G81" i="7"/>
  <c r="G82" i="7"/>
  <c r="G83" i="7"/>
  <c r="G84" i="7"/>
  <c r="G85" i="7"/>
  <c r="G86" i="7"/>
  <c r="G75" i="7"/>
  <c r="C90" i="7"/>
  <c r="C91" i="7"/>
  <c r="C92" i="7"/>
  <c r="C89" i="7"/>
  <c r="D77" i="7"/>
  <c r="D78" i="7"/>
  <c r="D79" i="7"/>
  <c r="D80" i="7"/>
  <c r="D81" i="7"/>
  <c r="D82" i="7"/>
  <c r="D83" i="7"/>
  <c r="D84" i="7"/>
  <c r="D85" i="7"/>
  <c r="D76" i="7"/>
  <c r="C76" i="7"/>
  <c r="C77" i="7"/>
  <c r="C78" i="7"/>
  <c r="C79" i="7"/>
  <c r="C80" i="7"/>
  <c r="C81" i="7"/>
  <c r="C82" i="7"/>
  <c r="C83" i="7"/>
  <c r="C84" i="7"/>
  <c r="C85" i="7"/>
  <c r="C86" i="7"/>
  <c r="C75" i="7"/>
  <c r="K67" i="7"/>
  <c r="K68" i="7"/>
  <c r="K69" i="7"/>
  <c r="K66" i="7"/>
  <c r="L54" i="7"/>
  <c r="L55" i="7"/>
  <c r="L56" i="7"/>
  <c r="L57" i="7"/>
  <c r="L58" i="7"/>
  <c r="L59" i="7"/>
  <c r="L60" i="7"/>
  <c r="L61" i="7"/>
  <c r="L62" i="7"/>
  <c r="L53" i="7"/>
  <c r="K53" i="7"/>
  <c r="K54" i="7"/>
  <c r="K55" i="7"/>
  <c r="K56" i="7"/>
  <c r="K57" i="7"/>
  <c r="K58" i="7"/>
  <c r="K59" i="7"/>
  <c r="K60" i="7"/>
  <c r="K61" i="7"/>
  <c r="K62" i="7"/>
  <c r="K63" i="7"/>
  <c r="K52" i="7"/>
  <c r="G67" i="7"/>
  <c r="G68" i="7"/>
  <c r="G69" i="7"/>
  <c r="G66" i="7"/>
  <c r="H54" i="7"/>
  <c r="H55" i="7"/>
  <c r="H56" i="7"/>
  <c r="H57" i="7"/>
  <c r="H58" i="7"/>
  <c r="H59" i="7"/>
  <c r="H60" i="7"/>
  <c r="H61" i="7"/>
  <c r="H62" i="7"/>
  <c r="H53" i="7"/>
  <c r="G53" i="7"/>
  <c r="G54" i="7"/>
  <c r="G55" i="7"/>
  <c r="G56" i="7"/>
  <c r="G57" i="7"/>
  <c r="G58" i="7"/>
  <c r="G59" i="7"/>
  <c r="G60" i="7"/>
  <c r="G61" i="7"/>
  <c r="G62" i="7"/>
  <c r="G63" i="7"/>
  <c r="G52" i="7"/>
  <c r="C67" i="7"/>
  <c r="C68" i="7"/>
  <c r="C69" i="7"/>
  <c r="C66" i="7"/>
  <c r="D54" i="7"/>
  <c r="D55" i="7"/>
  <c r="D56" i="7"/>
  <c r="D57" i="7"/>
  <c r="D58" i="7"/>
  <c r="D59" i="7"/>
  <c r="D60" i="7"/>
  <c r="D61" i="7"/>
  <c r="D62" i="7"/>
  <c r="D53" i="7"/>
  <c r="C53" i="7"/>
  <c r="C54" i="7"/>
  <c r="C55" i="7"/>
  <c r="C56" i="7"/>
  <c r="C57" i="7"/>
  <c r="C58" i="7"/>
  <c r="C59" i="7"/>
  <c r="C60" i="7"/>
  <c r="C61" i="7"/>
  <c r="C62" i="7"/>
  <c r="C63" i="7"/>
  <c r="C52" i="7"/>
  <c r="K44" i="7"/>
  <c r="K45" i="7"/>
  <c r="K46" i="7"/>
  <c r="K43" i="7"/>
  <c r="L31" i="7"/>
  <c r="L32" i="7"/>
  <c r="L33" i="7"/>
  <c r="L34" i="7"/>
  <c r="L35" i="7"/>
  <c r="L36" i="7"/>
  <c r="L37" i="7"/>
  <c r="L38" i="7"/>
  <c r="L39" i="7"/>
  <c r="L30" i="7"/>
  <c r="K30" i="7"/>
  <c r="K31" i="7"/>
  <c r="K32" i="7"/>
  <c r="K33" i="7"/>
  <c r="K34" i="7"/>
  <c r="K35" i="7"/>
  <c r="K36" i="7"/>
  <c r="K37" i="7"/>
  <c r="K38" i="7"/>
  <c r="K39" i="7"/>
  <c r="K40" i="7"/>
  <c r="K29" i="7"/>
  <c r="G44" i="7"/>
  <c r="G45" i="7"/>
  <c r="G46" i="7"/>
  <c r="G43" i="7"/>
  <c r="H31" i="7"/>
  <c r="H32" i="7"/>
  <c r="H33" i="7"/>
  <c r="H34" i="7"/>
  <c r="H35" i="7"/>
  <c r="H36" i="7"/>
  <c r="H37" i="7"/>
  <c r="H38" i="7"/>
  <c r="H39" i="7"/>
  <c r="H30" i="7"/>
  <c r="G30" i="7"/>
  <c r="G31" i="7"/>
  <c r="G32" i="7"/>
  <c r="G33" i="7"/>
  <c r="G34" i="7"/>
  <c r="G35" i="7"/>
  <c r="G36" i="7"/>
  <c r="G37" i="7"/>
  <c r="G38" i="7"/>
  <c r="G39" i="7"/>
  <c r="G40" i="7"/>
  <c r="G29" i="7"/>
  <c r="C44" i="7"/>
  <c r="C45" i="7"/>
  <c r="C46" i="7"/>
  <c r="C43" i="7"/>
  <c r="D31" i="7"/>
  <c r="D32" i="7"/>
  <c r="D33" i="7"/>
  <c r="D34" i="7"/>
  <c r="D35" i="7"/>
  <c r="D36" i="7"/>
  <c r="D37" i="7"/>
  <c r="D38" i="7"/>
  <c r="D39" i="7"/>
  <c r="D30" i="7"/>
  <c r="C30" i="7"/>
  <c r="C31" i="7"/>
  <c r="C32" i="7"/>
  <c r="C33" i="7"/>
  <c r="C34" i="7"/>
  <c r="C35" i="7"/>
  <c r="C36" i="7"/>
  <c r="C37" i="7"/>
  <c r="C38" i="7"/>
  <c r="C39" i="7"/>
  <c r="C40" i="7"/>
  <c r="C29" i="7"/>
  <c r="K21" i="7"/>
  <c r="K22" i="7"/>
  <c r="K23" i="7"/>
  <c r="K20" i="7"/>
  <c r="L8" i="7"/>
  <c r="L9" i="7"/>
  <c r="L10" i="7"/>
  <c r="L11" i="7"/>
  <c r="L12" i="7"/>
  <c r="L13" i="7"/>
  <c r="L14" i="7"/>
  <c r="L15" i="7"/>
  <c r="L16" i="7"/>
  <c r="L7" i="7"/>
  <c r="K7" i="7"/>
  <c r="K8" i="7"/>
  <c r="K9" i="7"/>
  <c r="K10" i="7"/>
  <c r="K11" i="7"/>
  <c r="K12" i="7"/>
  <c r="K13" i="7"/>
  <c r="K14" i="7"/>
  <c r="K15" i="7"/>
  <c r="K16" i="7"/>
  <c r="K17" i="7"/>
  <c r="K6" i="7"/>
  <c r="G21" i="7"/>
  <c r="G22" i="7"/>
  <c r="G23" i="7"/>
  <c r="G20" i="7"/>
  <c r="H8" i="7"/>
  <c r="H9" i="7"/>
  <c r="H10" i="7"/>
  <c r="H11" i="7"/>
  <c r="H12" i="7"/>
  <c r="H13" i="7"/>
  <c r="H14" i="7"/>
  <c r="H15" i="7"/>
  <c r="H16" i="7"/>
  <c r="H7" i="7"/>
  <c r="G7" i="7"/>
  <c r="G8" i="7"/>
  <c r="G9" i="7"/>
  <c r="G10" i="7"/>
  <c r="G11" i="7"/>
  <c r="G12" i="7"/>
  <c r="G13" i="7"/>
  <c r="G14" i="7"/>
  <c r="G15" i="7"/>
  <c r="G16" i="7"/>
  <c r="G17" i="7"/>
  <c r="G6" i="7"/>
  <c r="C21" i="7"/>
  <c r="C22" i="7"/>
  <c r="C23" i="7"/>
  <c r="C20" i="7"/>
  <c r="D8" i="7"/>
  <c r="D9" i="7"/>
  <c r="D10" i="7"/>
  <c r="D11" i="7"/>
  <c r="D12" i="7"/>
  <c r="D13" i="7"/>
  <c r="D14" i="7"/>
  <c r="D15" i="7"/>
  <c r="D16" i="7"/>
  <c r="D7" i="7"/>
  <c r="C7" i="7"/>
  <c r="C8" i="7"/>
  <c r="C9" i="7"/>
  <c r="C10" i="7"/>
  <c r="C11" i="7"/>
  <c r="C12" i="7"/>
  <c r="C13" i="7"/>
  <c r="C14" i="7"/>
  <c r="C15" i="7"/>
  <c r="C16" i="7"/>
  <c r="C17" i="7"/>
  <c r="C6" i="7"/>
  <c r="B3" i="7" l="1"/>
  <c r="B5" i="7"/>
  <c r="F5" i="7"/>
  <c r="J5" i="7"/>
  <c r="B26" i="7"/>
  <c r="B28" i="7"/>
  <c r="F28" i="7"/>
  <c r="J28" i="7"/>
  <c r="B49" i="7"/>
  <c r="B51" i="7"/>
  <c r="F51" i="7"/>
  <c r="J51" i="7"/>
  <c r="B72" i="7"/>
  <c r="B74" i="7"/>
  <c r="F74" i="7"/>
  <c r="J74" i="7"/>
  <c r="B4" i="8" l="1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3" i="8"/>
  <c r="L18" i="8" l="1"/>
  <c r="L19" i="8"/>
  <c r="L20" i="8"/>
  <c r="L21" i="8"/>
  <c r="L22" i="8"/>
  <c r="L23" i="8"/>
  <c r="L24" i="8"/>
  <c r="L25" i="8"/>
  <c r="L26" i="8"/>
  <c r="L27" i="8"/>
  <c r="L28" i="8"/>
  <c r="F27" i="8"/>
  <c r="F28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3" i="8"/>
  <c r="H3" i="8"/>
  <c r="K1" i="8" l="1"/>
  <c r="H1" i="8"/>
  <c r="E1" i="8"/>
  <c r="G51" i="9"/>
  <c r="I51" i="9"/>
  <c r="H51" i="9"/>
  <c r="B22" i="18" l="1"/>
  <c r="D22" i="18" s="1"/>
  <c r="B26" i="18"/>
  <c r="D26" i="18" s="1"/>
  <c r="B27" i="18"/>
  <c r="D27" i="18" s="1"/>
  <c r="B28" i="18"/>
  <c r="D28" i="18" s="1"/>
  <c r="B29" i="18"/>
  <c r="D29" i="18" s="1"/>
  <c r="B30" i="18"/>
  <c r="D30" i="18" s="1"/>
  <c r="B31" i="18"/>
  <c r="D31" i="18" s="1"/>
  <c r="B32" i="18"/>
  <c r="D32" i="18" s="1"/>
  <c r="B33" i="18"/>
  <c r="D33" i="18" s="1"/>
  <c r="B34" i="18"/>
  <c r="D34" i="18" s="1"/>
  <c r="B35" i="18"/>
  <c r="D35" i="18" s="1"/>
  <c r="B36" i="18"/>
  <c r="D36" i="18" s="1"/>
  <c r="B37" i="18"/>
  <c r="D37" i="18" s="1"/>
  <c r="B38" i="18"/>
  <c r="D38" i="18" s="1"/>
  <c r="B39" i="18"/>
  <c r="D39" i="18" s="1"/>
  <c r="B40" i="18"/>
  <c r="C40" i="18" s="1"/>
  <c r="B41" i="18"/>
  <c r="D41" i="18" s="1"/>
  <c r="B42" i="18"/>
  <c r="D42" i="18" s="1"/>
  <c r="B43" i="18"/>
  <c r="D43" i="18" s="1"/>
  <c r="B44" i="18"/>
  <c r="D44" i="18" s="1"/>
  <c r="B45" i="18"/>
  <c r="D45" i="18" s="1"/>
  <c r="B46" i="18"/>
  <c r="C46" i="18" s="1"/>
  <c r="B47" i="18"/>
  <c r="D47" i="18" s="1"/>
  <c r="B48" i="18"/>
  <c r="D48" i="18" s="1"/>
  <c r="B30" i="17"/>
  <c r="D30" i="17" s="1"/>
  <c r="B33" i="17"/>
  <c r="C33" i="17" s="1"/>
  <c r="B41" i="17"/>
  <c r="C41" i="17" s="1"/>
  <c r="B46" i="17"/>
  <c r="D46" i="17" s="1"/>
  <c r="B47" i="17"/>
  <c r="D47" i="17" s="1"/>
  <c r="B48" i="17"/>
  <c r="D48" i="17" s="1"/>
  <c r="B28" i="16"/>
  <c r="D28" i="16" s="1"/>
  <c r="B29" i="16"/>
  <c r="D29" i="16" s="1"/>
  <c r="B30" i="16"/>
  <c r="D30" i="16" s="1"/>
  <c r="B36" i="16"/>
  <c r="D36" i="16" s="1"/>
  <c r="B41" i="16"/>
  <c r="D41" i="16" s="1"/>
  <c r="B42" i="16"/>
  <c r="D42" i="16" s="1"/>
  <c r="B43" i="16"/>
  <c r="D43" i="16" s="1"/>
  <c r="B44" i="16"/>
  <c r="D44" i="16" s="1"/>
  <c r="B45" i="16"/>
  <c r="D45" i="16" s="1"/>
  <c r="B46" i="16"/>
  <c r="C46" i="16" s="1"/>
  <c r="B47" i="16"/>
  <c r="D47" i="16" s="1"/>
  <c r="B48" i="16"/>
  <c r="D48" i="16" s="1"/>
  <c r="M64" i="18"/>
  <c r="M63" i="18"/>
  <c r="M62" i="18"/>
  <c r="M61" i="18"/>
  <c r="V58" i="18"/>
  <c r="R58" i="18"/>
  <c r="P58" i="18"/>
  <c r="S58" i="18" s="1"/>
  <c r="V57" i="18"/>
  <c r="R57" i="18"/>
  <c r="N57" i="18"/>
  <c r="M57" i="18"/>
  <c r="V56" i="18"/>
  <c r="R56" i="18"/>
  <c r="N56" i="18"/>
  <c r="M56" i="18"/>
  <c r="V55" i="18"/>
  <c r="R55" i="18"/>
  <c r="N55" i="18"/>
  <c r="M55" i="18"/>
  <c r="V54" i="18"/>
  <c r="R54" i="18"/>
  <c r="N54" i="18"/>
  <c r="M54" i="18"/>
  <c r="V53" i="18"/>
  <c r="R53" i="18"/>
  <c r="N53" i="18"/>
  <c r="M53" i="18"/>
  <c r="V52" i="18"/>
  <c r="R52" i="18"/>
  <c r="N52" i="18"/>
  <c r="M52" i="18"/>
  <c r="V51" i="18"/>
  <c r="R51" i="18"/>
  <c r="N51" i="18"/>
  <c r="M51" i="18"/>
  <c r="V50" i="18"/>
  <c r="R50" i="18"/>
  <c r="N50" i="18"/>
  <c r="M50" i="18"/>
  <c r="V49" i="18"/>
  <c r="R49" i="18"/>
  <c r="N49" i="18"/>
  <c r="M49" i="18"/>
  <c r="V48" i="18"/>
  <c r="R48" i="18"/>
  <c r="N48" i="18"/>
  <c r="M48" i="18"/>
  <c r="V47" i="18"/>
  <c r="M43" i="18"/>
  <c r="M42" i="18"/>
  <c r="M41" i="18"/>
  <c r="M40" i="18"/>
  <c r="V37" i="18"/>
  <c r="R37" i="18"/>
  <c r="P37" i="18"/>
  <c r="S37" i="18" s="1"/>
  <c r="V36" i="18"/>
  <c r="R36" i="18"/>
  <c r="N36" i="18"/>
  <c r="M36" i="18"/>
  <c r="V35" i="18"/>
  <c r="R35" i="18"/>
  <c r="N35" i="18"/>
  <c r="M35" i="18"/>
  <c r="V34" i="18"/>
  <c r="R34" i="18"/>
  <c r="N34" i="18"/>
  <c r="M34" i="18"/>
  <c r="V33" i="18"/>
  <c r="R33" i="18"/>
  <c r="N33" i="18"/>
  <c r="M33" i="18"/>
  <c r="V32" i="18"/>
  <c r="R32" i="18"/>
  <c r="N32" i="18"/>
  <c r="M32" i="18"/>
  <c r="V31" i="18"/>
  <c r="R31" i="18"/>
  <c r="N31" i="18"/>
  <c r="M31" i="18"/>
  <c r="V30" i="18"/>
  <c r="R30" i="18"/>
  <c r="N30" i="18"/>
  <c r="M30" i="18"/>
  <c r="V29" i="18"/>
  <c r="R29" i="18"/>
  <c r="N29" i="18"/>
  <c r="M29" i="18"/>
  <c r="V28" i="18"/>
  <c r="R28" i="18"/>
  <c r="N28" i="18"/>
  <c r="M28" i="18"/>
  <c r="V27" i="18"/>
  <c r="R27" i="18"/>
  <c r="N27" i="18"/>
  <c r="M27" i="18"/>
  <c r="V26" i="18"/>
  <c r="M22" i="18"/>
  <c r="M21" i="18"/>
  <c r="M20" i="18"/>
  <c r="M19" i="18"/>
  <c r="V16" i="18"/>
  <c r="R16" i="18"/>
  <c r="P16" i="18"/>
  <c r="V15" i="18"/>
  <c r="R15" i="18"/>
  <c r="N15" i="18"/>
  <c r="M15" i="18"/>
  <c r="V14" i="18"/>
  <c r="R14" i="18"/>
  <c r="N14" i="18"/>
  <c r="M14" i="18"/>
  <c r="V13" i="18"/>
  <c r="R13" i="18"/>
  <c r="N13" i="18"/>
  <c r="M13" i="18"/>
  <c r="V12" i="18"/>
  <c r="R12" i="18"/>
  <c r="N12" i="18"/>
  <c r="M12" i="18"/>
  <c r="V11" i="18"/>
  <c r="R11" i="18"/>
  <c r="N11" i="18"/>
  <c r="M11" i="18"/>
  <c r="V10" i="18"/>
  <c r="R10" i="18"/>
  <c r="N10" i="18"/>
  <c r="M10" i="18"/>
  <c r="V9" i="18"/>
  <c r="R9" i="18"/>
  <c r="N9" i="18"/>
  <c r="M9" i="18"/>
  <c r="V8" i="18"/>
  <c r="R8" i="18"/>
  <c r="N8" i="18"/>
  <c r="M8" i="18"/>
  <c r="V7" i="18"/>
  <c r="R7" i="18"/>
  <c r="N7" i="18"/>
  <c r="M7" i="18"/>
  <c r="V6" i="18"/>
  <c r="R6" i="18"/>
  <c r="N6" i="18"/>
  <c r="M6" i="18"/>
  <c r="V5" i="18"/>
  <c r="M64" i="17"/>
  <c r="M63" i="17"/>
  <c r="M62" i="17"/>
  <c r="M61" i="17"/>
  <c r="V58" i="17"/>
  <c r="R58" i="17"/>
  <c r="P58" i="17"/>
  <c r="S58" i="17" s="1"/>
  <c r="V57" i="17"/>
  <c r="R57" i="17"/>
  <c r="N57" i="17"/>
  <c r="M57" i="17"/>
  <c r="V56" i="17"/>
  <c r="R56" i="17"/>
  <c r="N56" i="17"/>
  <c r="M56" i="17"/>
  <c r="V55" i="17"/>
  <c r="R55" i="17"/>
  <c r="N55" i="17"/>
  <c r="M55" i="17"/>
  <c r="V54" i="17"/>
  <c r="R54" i="17"/>
  <c r="N54" i="17"/>
  <c r="M54" i="17"/>
  <c r="V53" i="17"/>
  <c r="R53" i="17"/>
  <c r="N53" i="17"/>
  <c r="M53" i="17"/>
  <c r="V52" i="17"/>
  <c r="R52" i="17"/>
  <c r="N52" i="17"/>
  <c r="M52" i="17"/>
  <c r="V51" i="17"/>
  <c r="R51" i="17"/>
  <c r="N51" i="17"/>
  <c r="M51" i="17"/>
  <c r="V50" i="17"/>
  <c r="R50" i="17"/>
  <c r="N50" i="17"/>
  <c r="M50" i="17"/>
  <c r="V49" i="17"/>
  <c r="R49" i="17"/>
  <c r="N49" i="17"/>
  <c r="M49" i="17"/>
  <c r="V48" i="17"/>
  <c r="R48" i="17"/>
  <c r="N48" i="17"/>
  <c r="M48" i="17"/>
  <c r="V47" i="17"/>
  <c r="M43" i="17"/>
  <c r="M42" i="17"/>
  <c r="M41" i="17"/>
  <c r="M40" i="17"/>
  <c r="V37" i="17"/>
  <c r="R37" i="17"/>
  <c r="P37" i="17"/>
  <c r="S37" i="17" s="1"/>
  <c r="V36" i="17"/>
  <c r="R36" i="17"/>
  <c r="N36" i="17"/>
  <c r="M36" i="17"/>
  <c r="V35" i="17"/>
  <c r="R35" i="17"/>
  <c r="N35" i="17"/>
  <c r="M35" i="17"/>
  <c r="V34" i="17"/>
  <c r="R34" i="17"/>
  <c r="N34" i="17"/>
  <c r="M34" i="17"/>
  <c r="V33" i="17"/>
  <c r="R33" i="17"/>
  <c r="N33" i="17"/>
  <c r="M33" i="17"/>
  <c r="V32" i="17"/>
  <c r="R32" i="17"/>
  <c r="N32" i="17"/>
  <c r="M32" i="17"/>
  <c r="V31" i="17"/>
  <c r="R31" i="17"/>
  <c r="N31" i="17"/>
  <c r="M31" i="17"/>
  <c r="V30" i="17"/>
  <c r="R30" i="17"/>
  <c r="N30" i="17"/>
  <c r="M30" i="17"/>
  <c r="V29" i="17"/>
  <c r="R29" i="17"/>
  <c r="N29" i="17"/>
  <c r="M29" i="17"/>
  <c r="V28" i="17"/>
  <c r="R28" i="17"/>
  <c r="N28" i="17"/>
  <c r="M28" i="17"/>
  <c r="V27" i="17"/>
  <c r="R27" i="17"/>
  <c r="N27" i="17"/>
  <c r="M27" i="17"/>
  <c r="V26" i="17"/>
  <c r="M22" i="17"/>
  <c r="M21" i="17"/>
  <c r="M20" i="17"/>
  <c r="M19" i="17"/>
  <c r="V16" i="17"/>
  <c r="R16" i="17"/>
  <c r="P16" i="17"/>
  <c r="S16" i="17" s="1"/>
  <c r="V15" i="17"/>
  <c r="R15" i="17"/>
  <c r="N15" i="17"/>
  <c r="M15" i="17"/>
  <c r="V14" i="17"/>
  <c r="R14" i="17"/>
  <c r="N14" i="17"/>
  <c r="M14" i="17"/>
  <c r="V13" i="17"/>
  <c r="R13" i="17"/>
  <c r="N13" i="17"/>
  <c r="M13" i="17"/>
  <c r="V12" i="17"/>
  <c r="R12" i="17"/>
  <c r="N12" i="17"/>
  <c r="M12" i="17"/>
  <c r="V11" i="17"/>
  <c r="R11" i="17"/>
  <c r="N11" i="17"/>
  <c r="M11" i="17"/>
  <c r="V10" i="17"/>
  <c r="R10" i="17"/>
  <c r="N10" i="17"/>
  <c r="M10" i="17"/>
  <c r="V9" i="17"/>
  <c r="R9" i="17"/>
  <c r="N9" i="17"/>
  <c r="M9" i="17"/>
  <c r="V8" i="17"/>
  <c r="R8" i="17"/>
  <c r="N8" i="17"/>
  <c r="M8" i="17"/>
  <c r="V7" i="17"/>
  <c r="R7" i="17"/>
  <c r="N7" i="17"/>
  <c r="M7" i="17"/>
  <c r="V6" i="17"/>
  <c r="R6" i="17"/>
  <c r="N6" i="17"/>
  <c r="M6" i="17"/>
  <c r="V5" i="17"/>
  <c r="M64" i="16"/>
  <c r="M63" i="16"/>
  <c r="M62" i="16"/>
  <c r="M61" i="16"/>
  <c r="V58" i="16"/>
  <c r="R58" i="16"/>
  <c r="P58" i="16"/>
  <c r="S58" i="16" s="1"/>
  <c r="V57" i="16"/>
  <c r="R57" i="16"/>
  <c r="N57" i="16"/>
  <c r="M57" i="16"/>
  <c r="V56" i="16"/>
  <c r="R56" i="16"/>
  <c r="N56" i="16"/>
  <c r="M56" i="16"/>
  <c r="V55" i="16"/>
  <c r="R55" i="16"/>
  <c r="N55" i="16"/>
  <c r="M55" i="16"/>
  <c r="V54" i="16"/>
  <c r="R54" i="16"/>
  <c r="N54" i="16"/>
  <c r="M54" i="16"/>
  <c r="V53" i="16"/>
  <c r="R53" i="16"/>
  <c r="N53" i="16"/>
  <c r="M53" i="16"/>
  <c r="V52" i="16"/>
  <c r="R52" i="16"/>
  <c r="N52" i="16"/>
  <c r="M52" i="16"/>
  <c r="V51" i="16"/>
  <c r="R51" i="16"/>
  <c r="N51" i="16"/>
  <c r="M51" i="16"/>
  <c r="V50" i="16"/>
  <c r="R50" i="16"/>
  <c r="N50" i="16"/>
  <c r="M50" i="16"/>
  <c r="V49" i="16"/>
  <c r="R49" i="16"/>
  <c r="N49" i="16"/>
  <c r="M49" i="16"/>
  <c r="V48" i="16"/>
  <c r="R48" i="16"/>
  <c r="N48" i="16"/>
  <c r="M48" i="16"/>
  <c r="V47" i="16"/>
  <c r="M43" i="16"/>
  <c r="M42" i="16"/>
  <c r="M41" i="16"/>
  <c r="M40" i="16"/>
  <c r="V37" i="16"/>
  <c r="R37" i="16"/>
  <c r="P37" i="16"/>
  <c r="S37" i="16" s="1"/>
  <c r="V36" i="16"/>
  <c r="R36" i="16"/>
  <c r="N36" i="16"/>
  <c r="M36" i="16"/>
  <c r="V35" i="16"/>
  <c r="R35" i="16"/>
  <c r="N35" i="16"/>
  <c r="M35" i="16"/>
  <c r="V34" i="16"/>
  <c r="R34" i="16"/>
  <c r="N34" i="16"/>
  <c r="M34" i="16"/>
  <c r="V33" i="16"/>
  <c r="R33" i="16"/>
  <c r="N33" i="16"/>
  <c r="M33" i="16"/>
  <c r="V32" i="16"/>
  <c r="R32" i="16"/>
  <c r="N32" i="16"/>
  <c r="M32" i="16"/>
  <c r="V31" i="16"/>
  <c r="R31" i="16"/>
  <c r="N31" i="16"/>
  <c r="M31" i="16"/>
  <c r="V30" i="16"/>
  <c r="R30" i="16"/>
  <c r="N30" i="16"/>
  <c r="M30" i="16"/>
  <c r="V29" i="16"/>
  <c r="R29" i="16"/>
  <c r="N29" i="16"/>
  <c r="M29" i="16"/>
  <c r="V28" i="16"/>
  <c r="R28" i="16"/>
  <c r="N28" i="16"/>
  <c r="M28" i="16"/>
  <c r="V27" i="16"/>
  <c r="R27" i="16"/>
  <c r="N27" i="16"/>
  <c r="M27" i="16"/>
  <c r="V26" i="16"/>
  <c r="M22" i="16"/>
  <c r="M21" i="16"/>
  <c r="M20" i="16"/>
  <c r="M19" i="16"/>
  <c r="V16" i="16"/>
  <c r="R16" i="16"/>
  <c r="S16" i="16" s="1"/>
  <c r="P16" i="16"/>
  <c r="V15" i="16"/>
  <c r="R15" i="16"/>
  <c r="N15" i="16"/>
  <c r="M15" i="16"/>
  <c r="V14" i="16"/>
  <c r="R14" i="16"/>
  <c r="N14" i="16"/>
  <c r="M14" i="16"/>
  <c r="V13" i="16"/>
  <c r="R13" i="16"/>
  <c r="N13" i="16"/>
  <c r="M13" i="16"/>
  <c r="V12" i="16"/>
  <c r="R12" i="16"/>
  <c r="N12" i="16"/>
  <c r="M12" i="16"/>
  <c r="V11" i="16"/>
  <c r="R11" i="16"/>
  <c r="N11" i="16"/>
  <c r="M11" i="16"/>
  <c r="V10" i="16"/>
  <c r="R10" i="16"/>
  <c r="N10" i="16"/>
  <c r="M10" i="16"/>
  <c r="V9" i="16"/>
  <c r="R9" i="16"/>
  <c r="N9" i="16"/>
  <c r="M9" i="16"/>
  <c r="V8" i="16"/>
  <c r="R8" i="16"/>
  <c r="N8" i="16"/>
  <c r="M8" i="16"/>
  <c r="V7" i="16"/>
  <c r="R7" i="16"/>
  <c r="N7" i="16"/>
  <c r="M7" i="16"/>
  <c r="V6" i="16"/>
  <c r="R6" i="16"/>
  <c r="N6" i="16"/>
  <c r="M6" i="16"/>
  <c r="V5" i="16"/>
  <c r="M64" i="3"/>
  <c r="M63" i="3"/>
  <c r="M62" i="3"/>
  <c r="M61" i="3"/>
  <c r="V58" i="3"/>
  <c r="R58" i="3"/>
  <c r="P58" i="3"/>
  <c r="S58" i="3" s="1"/>
  <c r="V57" i="3"/>
  <c r="R57" i="3"/>
  <c r="N57" i="3"/>
  <c r="M57" i="3"/>
  <c r="V56" i="3"/>
  <c r="R56" i="3"/>
  <c r="N56" i="3"/>
  <c r="M56" i="3"/>
  <c r="V55" i="3"/>
  <c r="R55" i="3"/>
  <c r="N55" i="3"/>
  <c r="M55" i="3"/>
  <c r="V54" i="3"/>
  <c r="R54" i="3"/>
  <c r="N54" i="3"/>
  <c r="M54" i="3"/>
  <c r="V53" i="3"/>
  <c r="R53" i="3"/>
  <c r="N53" i="3"/>
  <c r="M53" i="3"/>
  <c r="V52" i="3"/>
  <c r="R52" i="3"/>
  <c r="N52" i="3"/>
  <c r="M52" i="3"/>
  <c r="V51" i="3"/>
  <c r="R51" i="3"/>
  <c r="N51" i="3"/>
  <c r="M51" i="3"/>
  <c r="V50" i="3"/>
  <c r="R50" i="3"/>
  <c r="N50" i="3"/>
  <c r="M50" i="3"/>
  <c r="V49" i="3"/>
  <c r="R49" i="3"/>
  <c r="N49" i="3"/>
  <c r="M49" i="3"/>
  <c r="V48" i="3"/>
  <c r="R48" i="3"/>
  <c r="N48" i="3"/>
  <c r="M48" i="3"/>
  <c r="V47" i="3"/>
  <c r="M43" i="3"/>
  <c r="M42" i="3"/>
  <c r="M41" i="3"/>
  <c r="M40" i="3"/>
  <c r="V37" i="3"/>
  <c r="R37" i="3"/>
  <c r="P37" i="3"/>
  <c r="S37" i="3" s="1"/>
  <c r="V36" i="3"/>
  <c r="R36" i="3"/>
  <c r="N36" i="3"/>
  <c r="M36" i="3"/>
  <c r="V35" i="3"/>
  <c r="R35" i="3"/>
  <c r="N35" i="3"/>
  <c r="M35" i="3"/>
  <c r="V34" i="3"/>
  <c r="R34" i="3"/>
  <c r="N34" i="3"/>
  <c r="M34" i="3"/>
  <c r="V33" i="3"/>
  <c r="R33" i="3"/>
  <c r="N33" i="3"/>
  <c r="M33" i="3"/>
  <c r="V32" i="3"/>
  <c r="R32" i="3"/>
  <c r="N32" i="3"/>
  <c r="M32" i="3"/>
  <c r="V31" i="3"/>
  <c r="R31" i="3"/>
  <c r="N31" i="3"/>
  <c r="M31" i="3"/>
  <c r="V30" i="3"/>
  <c r="R30" i="3"/>
  <c r="N30" i="3"/>
  <c r="M30" i="3"/>
  <c r="V29" i="3"/>
  <c r="R29" i="3"/>
  <c r="N29" i="3"/>
  <c r="M29" i="3"/>
  <c r="V28" i="3"/>
  <c r="R28" i="3"/>
  <c r="N28" i="3"/>
  <c r="M28" i="3"/>
  <c r="V27" i="3"/>
  <c r="R27" i="3"/>
  <c r="N27" i="3"/>
  <c r="M27" i="3"/>
  <c r="V26" i="3"/>
  <c r="F50" i="9"/>
  <c r="F52" i="9" s="1"/>
  <c r="B30" i="3"/>
  <c r="C30" i="3" s="1"/>
  <c r="B34" i="3"/>
  <c r="C34" i="3" s="1"/>
  <c r="B41" i="3"/>
  <c r="C41" i="3" s="1"/>
  <c r="B42" i="3"/>
  <c r="C42" i="3" s="1"/>
  <c r="B43" i="3"/>
  <c r="C43" i="3" s="1"/>
  <c r="B44" i="3"/>
  <c r="C44" i="3" s="1"/>
  <c r="B45" i="3"/>
  <c r="C45" i="3" s="1"/>
  <c r="B46" i="3"/>
  <c r="C46" i="3" s="1"/>
  <c r="B47" i="3"/>
  <c r="D47" i="3" s="1"/>
  <c r="B48" i="3"/>
  <c r="C48" i="3" s="1"/>
  <c r="I49" i="9"/>
  <c r="F51" i="9"/>
  <c r="G50" i="9"/>
  <c r="G52" i="9" s="1"/>
  <c r="H50" i="9"/>
  <c r="H52" i="9" s="1"/>
  <c r="I50" i="9"/>
  <c r="I52" i="9" s="1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F17" i="8" s="1"/>
  <c r="B18" i="9"/>
  <c r="F18" i="8" s="1"/>
  <c r="B19" i="9"/>
  <c r="F19" i="8" s="1"/>
  <c r="B20" i="9"/>
  <c r="F20" i="8" s="1"/>
  <c r="B21" i="9"/>
  <c r="F21" i="8" s="1"/>
  <c r="B22" i="9"/>
  <c r="F22" i="8" s="1"/>
  <c r="B23" i="9"/>
  <c r="F23" i="8" s="1"/>
  <c r="B24" i="9"/>
  <c r="F24" i="8" s="1"/>
  <c r="B25" i="9"/>
  <c r="F25" i="8" s="1"/>
  <c r="B26" i="9"/>
  <c r="F26" i="8" s="1"/>
  <c r="B27" i="9"/>
  <c r="B28" i="9"/>
  <c r="B29" i="9"/>
  <c r="C29" i="9" s="1"/>
  <c r="D29" i="9" s="1"/>
  <c r="B30" i="9"/>
  <c r="C30" i="9" s="1"/>
  <c r="D30" i="9" s="1"/>
  <c r="B31" i="9"/>
  <c r="C31" i="9" s="1"/>
  <c r="D31" i="9" s="1"/>
  <c r="B32" i="9"/>
  <c r="C32" i="9" s="1"/>
  <c r="D32" i="9" s="1"/>
  <c r="B33" i="9"/>
  <c r="C33" i="9" s="1"/>
  <c r="D33" i="9" s="1"/>
  <c r="B34" i="9"/>
  <c r="C34" i="9" s="1"/>
  <c r="D34" i="9" s="1"/>
  <c r="B35" i="9"/>
  <c r="C35" i="9" s="1"/>
  <c r="D35" i="9" s="1"/>
  <c r="B36" i="9"/>
  <c r="C36" i="9" s="1"/>
  <c r="D36" i="9" s="1"/>
  <c r="B37" i="9"/>
  <c r="C37" i="9" s="1"/>
  <c r="D37" i="9" s="1"/>
  <c r="B38" i="9"/>
  <c r="C38" i="9" s="1"/>
  <c r="D38" i="9" s="1"/>
  <c r="B39" i="9"/>
  <c r="C39" i="9" s="1"/>
  <c r="D39" i="9" s="1"/>
  <c r="B40" i="9"/>
  <c r="C40" i="9" s="1"/>
  <c r="D40" i="9" s="1"/>
  <c r="B41" i="9"/>
  <c r="C41" i="9" s="1"/>
  <c r="D41" i="9" s="1"/>
  <c r="B42" i="9"/>
  <c r="C42" i="9" s="1"/>
  <c r="D42" i="9" s="1"/>
  <c r="B43" i="9"/>
  <c r="C43" i="9" s="1"/>
  <c r="D43" i="9" s="1"/>
  <c r="B44" i="9"/>
  <c r="C44" i="9" s="1"/>
  <c r="D44" i="9" s="1"/>
  <c r="B45" i="9"/>
  <c r="C45" i="9" s="1"/>
  <c r="D45" i="9" s="1"/>
  <c r="B46" i="9"/>
  <c r="C46" i="9" s="1"/>
  <c r="D46" i="9" s="1"/>
  <c r="B47" i="9"/>
  <c r="C47" i="9" s="1"/>
  <c r="D47" i="9" s="1"/>
  <c r="B1" i="8"/>
  <c r="L9" i="8" l="1"/>
  <c r="F9" i="8"/>
  <c r="L16" i="8"/>
  <c r="F16" i="8"/>
  <c r="L8" i="8"/>
  <c r="F8" i="8"/>
  <c r="L15" i="8"/>
  <c r="F15" i="8"/>
  <c r="L7" i="8"/>
  <c r="F7" i="8"/>
  <c r="L14" i="8"/>
  <c r="F14" i="8"/>
  <c r="L6" i="8"/>
  <c r="F6" i="8"/>
  <c r="L13" i="8"/>
  <c r="F13" i="8"/>
  <c r="L5" i="8"/>
  <c r="F5" i="8"/>
  <c r="L12" i="8"/>
  <c r="F12" i="8"/>
  <c r="L4" i="8"/>
  <c r="F4" i="8"/>
  <c r="L11" i="8"/>
  <c r="F11" i="8"/>
  <c r="L10" i="8"/>
  <c r="F10" i="8"/>
  <c r="C17" i="8"/>
  <c r="L17" i="8"/>
  <c r="S16" i="18"/>
  <c r="C28" i="9"/>
  <c r="D28" i="9" s="1"/>
  <c r="I28" i="8"/>
  <c r="C28" i="8"/>
  <c r="C27" i="9"/>
  <c r="I27" i="8"/>
  <c r="C27" i="8"/>
  <c r="C24" i="9"/>
  <c r="D24" i="9" s="1"/>
  <c r="C24" i="8"/>
  <c r="I24" i="8"/>
  <c r="C16" i="9"/>
  <c r="D16" i="9" s="1"/>
  <c r="C16" i="8"/>
  <c r="I16" i="8"/>
  <c r="E8" i="9"/>
  <c r="C8" i="8"/>
  <c r="I8" i="8"/>
  <c r="C23" i="9"/>
  <c r="D23" i="9" s="1"/>
  <c r="C23" i="8"/>
  <c r="I23" i="8"/>
  <c r="C15" i="9"/>
  <c r="D15" i="9" s="1"/>
  <c r="C15" i="8"/>
  <c r="I15" i="8"/>
  <c r="C7" i="9"/>
  <c r="C7" i="8"/>
  <c r="I7" i="8"/>
  <c r="C22" i="9"/>
  <c r="D22" i="9" s="1"/>
  <c r="C22" i="8"/>
  <c r="I22" i="8"/>
  <c r="C14" i="9"/>
  <c r="C14" i="8"/>
  <c r="I14" i="8"/>
  <c r="C6" i="9"/>
  <c r="C6" i="8"/>
  <c r="I6" i="8"/>
  <c r="C21" i="9"/>
  <c r="D21" i="9" s="1"/>
  <c r="I21" i="8"/>
  <c r="C21" i="8"/>
  <c r="C13" i="9"/>
  <c r="B14" i="16" s="1"/>
  <c r="D14" i="16" s="1"/>
  <c r="I13" i="8"/>
  <c r="C13" i="8"/>
  <c r="C5" i="9"/>
  <c r="B6" i="16" s="1"/>
  <c r="D6" i="16" s="1"/>
  <c r="C5" i="8"/>
  <c r="I5" i="8"/>
  <c r="C20" i="9"/>
  <c r="D20" i="9" s="1"/>
  <c r="I20" i="8"/>
  <c r="C20" i="8"/>
  <c r="C12" i="9"/>
  <c r="C12" i="8"/>
  <c r="I12" i="8"/>
  <c r="C4" i="9"/>
  <c r="I4" i="8"/>
  <c r="C4" i="8"/>
  <c r="C19" i="9"/>
  <c r="I19" i="8"/>
  <c r="C19" i="8"/>
  <c r="E11" i="9"/>
  <c r="I11" i="8"/>
  <c r="C11" i="8"/>
  <c r="C26" i="9"/>
  <c r="I26" i="8"/>
  <c r="C26" i="8"/>
  <c r="C18" i="9"/>
  <c r="D18" i="9" s="1"/>
  <c r="I18" i="8"/>
  <c r="C18" i="8"/>
  <c r="E10" i="9"/>
  <c r="I10" i="8"/>
  <c r="C10" i="8"/>
  <c r="C25" i="9"/>
  <c r="I25" i="8"/>
  <c r="C25" i="8"/>
  <c r="C17" i="9"/>
  <c r="D17" i="9" s="1"/>
  <c r="I17" i="8"/>
  <c r="C9" i="9"/>
  <c r="I9" i="8"/>
  <c r="C9" i="8"/>
  <c r="E5" i="9"/>
  <c r="E4" i="9"/>
  <c r="E45" i="9"/>
  <c r="E21" i="9"/>
  <c r="B35" i="3"/>
  <c r="C35" i="3" s="1"/>
  <c r="B37" i="16"/>
  <c r="D37" i="16" s="1"/>
  <c r="B42" i="17"/>
  <c r="D42" i="17" s="1"/>
  <c r="B34" i="17"/>
  <c r="D34" i="17" s="1"/>
  <c r="B23" i="18"/>
  <c r="D23" i="18" s="1"/>
  <c r="E37" i="9"/>
  <c r="B33" i="3"/>
  <c r="C33" i="3" s="1"/>
  <c r="B35" i="16"/>
  <c r="C35" i="16" s="1"/>
  <c r="B40" i="17"/>
  <c r="D40" i="17" s="1"/>
  <c r="B32" i="17"/>
  <c r="D32" i="17" s="1"/>
  <c r="B21" i="18"/>
  <c r="D21" i="18" s="1"/>
  <c r="E29" i="9"/>
  <c r="B40" i="3"/>
  <c r="C40" i="3" s="1"/>
  <c r="B32" i="3"/>
  <c r="C32" i="3" s="1"/>
  <c r="B34" i="16"/>
  <c r="D34" i="16" s="1"/>
  <c r="B39" i="17"/>
  <c r="D39" i="17" s="1"/>
  <c r="B31" i="17"/>
  <c r="D31" i="17" s="1"/>
  <c r="B20" i="18"/>
  <c r="D20" i="18" s="1"/>
  <c r="B33" i="16"/>
  <c r="C33" i="16" s="1"/>
  <c r="B38" i="17"/>
  <c r="D38" i="17" s="1"/>
  <c r="B19" i="18"/>
  <c r="D19" i="18" s="1"/>
  <c r="B31" i="3"/>
  <c r="D31" i="3" s="1"/>
  <c r="E13" i="9"/>
  <c r="B38" i="3"/>
  <c r="C38" i="3" s="1"/>
  <c r="B40" i="16"/>
  <c r="C40" i="16" s="1"/>
  <c r="B32" i="16"/>
  <c r="C32" i="16" s="1"/>
  <c r="B45" i="17"/>
  <c r="D45" i="17" s="1"/>
  <c r="B37" i="17"/>
  <c r="D37" i="17" s="1"/>
  <c r="B18" i="18"/>
  <c r="D18" i="18" s="1"/>
  <c r="E12" i="9"/>
  <c r="B37" i="3"/>
  <c r="C37" i="3" s="1"/>
  <c r="B39" i="16"/>
  <c r="D39" i="16" s="1"/>
  <c r="B31" i="16"/>
  <c r="D31" i="16" s="1"/>
  <c r="B44" i="17"/>
  <c r="D44" i="17" s="1"/>
  <c r="B36" i="17"/>
  <c r="D36" i="17" s="1"/>
  <c r="B25" i="18"/>
  <c r="D25" i="18" s="1"/>
  <c r="B17" i="18"/>
  <c r="C17" i="18" s="1"/>
  <c r="B39" i="3"/>
  <c r="D39" i="3" s="1"/>
  <c r="B36" i="3"/>
  <c r="C36" i="3" s="1"/>
  <c r="B38" i="16"/>
  <c r="C38" i="16" s="1"/>
  <c r="B43" i="17"/>
  <c r="D43" i="17" s="1"/>
  <c r="B35" i="17"/>
  <c r="C35" i="17" s="1"/>
  <c r="B24" i="18"/>
  <c r="D24" i="18" s="1"/>
  <c r="C28" i="18"/>
  <c r="C39" i="18"/>
  <c r="C43" i="18"/>
  <c r="C36" i="18"/>
  <c r="C48" i="17"/>
  <c r="D33" i="17"/>
  <c r="D46" i="18"/>
  <c r="D40" i="18"/>
  <c r="D41" i="17"/>
  <c r="C31" i="18"/>
  <c r="C33" i="18"/>
  <c r="C47" i="18"/>
  <c r="D46" i="16"/>
  <c r="C42" i="18"/>
  <c r="C27" i="18"/>
  <c r="C32" i="18"/>
  <c r="C42" i="16"/>
  <c r="C37" i="18"/>
  <c r="C35" i="18"/>
  <c r="C41" i="16"/>
  <c r="C46" i="17"/>
  <c r="C29" i="18"/>
  <c r="C45" i="16"/>
  <c r="C38" i="18"/>
  <c r="C30" i="18"/>
  <c r="C44" i="18"/>
  <c r="C48" i="18"/>
  <c r="C22" i="18"/>
  <c r="C26" i="18"/>
  <c r="C34" i="18"/>
  <c r="C41" i="18"/>
  <c r="C45" i="18"/>
  <c r="C30" i="17"/>
  <c r="C47" i="17"/>
  <c r="C30" i="16"/>
  <c r="C29" i="16"/>
  <c r="C44" i="16"/>
  <c r="C48" i="16"/>
  <c r="C28" i="16"/>
  <c r="C36" i="16"/>
  <c r="C43" i="16"/>
  <c r="C47" i="16"/>
  <c r="D30" i="3"/>
  <c r="D45" i="3"/>
  <c r="D41" i="3"/>
  <c r="D46" i="3"/>
  <c r="C47" i="3"/>
  <c r="D44" i="3"/>
  <c r="D43" i="3"/>
  <c r="D42" i="3"/>
  <c r="D34" i="3"/>
  <c r="D48" i="3"/>
  <c r="E46" i="9"/>
  <c r="E38" i="9"/>
  <c r="E30" i="9"/>
  <c r="E22" i="9"/>
  <c r="E14" i="9"/>
  <c r="E6" i="9"/>
  <c r="E44" i="9"/>
  <c r="E36" i="9"/>
  <c r="E28" i="9"/>
  <c r="E20" i="9"/>
  <c r="E43" i="9"/>
  <c r="E35" i="9"/>
  <c r="E27" i="9"/>
  <c r="E19" i="9"/>
  <c r="E42" i="9"/>
  <c r="E34" i="9"/>
  <c r="E26" i="9"/>
  <c r="E18" i="9"/>
  <c r="E41" i="9"/>
  <c r="E33" i="9"/>
  <c r="E25" i="9"/>
  <c r="E17" i="9"/>
  <c r="E9" i="9"/>
  <c r="E40" i="9"/>
  <c r="E32" i="9"/>
  <c r="E24" i="9"/>
  <c r="E16" i="9"/>
  <c r="E47" i="9"/>
  <c r="E39" i="9"/>
  <c r="E31" i="9"/>
  <c r="E23" i="9"/>
  <c r="E15" i="9"/>
  <c r="E7" i="9"/>
  <c r="C11" i="9"/>
  <c r="C10" i="9"/>
  <c r="C8" i="9"/>
  <c r="B9" i="16" s="1"/>
  <c r="D9" i="16" s="1"/>
  <c r="B24" i="16" l="1"/>
  <c r="C24" i="16" s="1"/>
  <c r="B18" i="16"/>
  <c r="D18" i="16" s="1"/>
  <c r="B23" i="16"/>
  <c r="C23" i="16" s="1"/>
  <c r="B22" i="16"/>
  <c r="D22" i="16" s="1"/>
  <c r="B16" i="16"/>
  <c r="D16" i="16" s="1"/>
  <c r="B17" i="16"/>
  <c r="C17" i="16" s="1"/>
  <c r="B21" i="16"/>
  <c r="C21" i="16" s="1"/>
  <c r="D19" i="9"/>
  <c r="B20" i="16"/>
  <c r="D14" i="9"/>
  <c r="B15" i="16"/>
  <c r="D25" i="9"/>
  <c r="B26" i="16"/>
  <c r="D26" i="9"/>
  <c r="B27" i="16"/>
  <c r="B11" i="17"/>
  <c r="D11" i="17" s="1"/>
  <c r="B11" i="16"/>
  <c r="B25" i="16"/>
  <c r="D25" i="16" s="1"/>
  <c r="D4" i="9"/>
  <c r="B5" i="16"/>
  <c r="B19" i="16"/>
  <c r="C19" i="16" s="1"/>
  <c r="D9" i="9"/>
  <c r="B10" i="16"/>
  <c r="D6" i="9"/>
  <c r="B7" i="16"/>
  <c r="B12" i="17"/>
  <c r="D12" i="17" s="1"/>
  <c r="B12" i="16"/>
  <c r="D12" i="9"/>
  <c r="B13" i="16"/>
  <c r="D7" i="9"/>
  <c r="B8" i="16"/>
  <c r="B8" i="18"/>
  <c r="D8" i="18" s="1"/>
  <c r="B13" i="18"/>
  <c r="D13" i="18" s="1"/>
  <c r="B16" i="18"/>
  <c r="D16" i="18" s="1"/>
  <c r="B15" i="18"/>
  <c r="D15" i="18" s="1"/>
  <c r="B10" i="18"/>
  <c r="D10" i="18" s="1"/>
  <c r="B5" i="18"/>
  <c r="D5" i="18" s="1"/>
  <c r="B7" i="18"/>
  <c r="D7" i="18" s="1"/>
  <c r="D13" i="9"/>
  <c r="C14" i="16" s="1"/>
  <c r="B14" i="18"/>
  <c r="D5" i="9"/>
  <c r="C6" i="16" s="1"/>
  <c r="B6" i="18"/>
  <c r="B7" i="3"/>
  <c r="D7" i="3" s="1"/>
  <c r="B29" i="17"/>
  <c r="B29" i="3"/>
  <c r="B25" i="3"/>
  <c r="D25" i="3" s="1"/>
  <c r="B20" i="17"/>
  <c r="D20" i="17" s="1"/>
  <c r="B16" i="17"/>
  <c r="D16" i="17" s="1"/>
  <c r="B16" i="3"/>
  <c r="C16" i="3" s="1"/>
  <c r="B17" i="3"/>
  <c r="D17" i="3" s="1"/>
  <c r="D27" i="9"/>
  <c r="B28" i="17"/>
  <c r="B28" i="3"/>
  <c r="B21" i="17"/>
  <c r="D21" i="17" s="1"/>
  <c r="B21" i="3"/>
  <c r="D21" i="3" s="1"/>
  <c r="B6" i="17"/>
  <c r="D6" i="17" s="1"/>
  <c r="B7" i="17"/>
  <c r="D7" i="17" s="1"/>
  <c r="B25" i="17"/>
  <c r="D25" i="17" s="1"/>
  <c r="B15" i="17"/>
  <c r="D15" i="17" s="1"/>
  <c r="B27" i="3"/>
  <c r="B20" i="3"/>
  <c r="B15" i="3"/>
  <c r="D15" i="3" s="1"/>
  <c r="B22" i="3"/>
  <c r="C22" i="3" s="1"/>
  <c r="B17" i="17"/>
  <c r="C17" i="17" s="1"/>
  <c r="B22" i="17"/>
  <c r="D22" i="17" s="1"/>
  <c r="B26" i="17"/>
  <c r="D26" i="17" s="1"/>
  <c r="B13" i="3"/>
  <c r="D13" i="3" s="1"/>
  <c r="B27" i="17"/>
  <c r="B6" i="3"/>
  <c r="B8" i="17"/>
  <c r="D8" i="17" s="1"/>
  <c r="B18" i="17"/>
  <c r="B18" i="3"/>
  <c r="B8" i="3"/>
  <c r="B26" i="3"/>
  <c r="B13" i="17"/>
  <c r="D13" i="17" s="1"/>
  <c r="B24" i="17"/>
  <c r="D24" i="17" s="1"/>
  <c r="B24" i="3"/>
  <c r="C24" i="3" s="1"/>
  <c r="B19" i="3"/>
  <c r="B5" i="17"/>
  <c r="D5" i="17" s="1"/>
  <c r="B14" i="3"/>
  <c r="B14" i="17"/>
  <c r="B10" i="3"/>
  <c r="B19" i="17"/>
  <c r="D19" i="17" s="1"/>
  <c r="B5" i="3"/>
  <c r="D5" i="3" s="1"/>
  <c r="B10" i="17"/>
  <c r="D10" i="17" s="1"/>
  <c r="B23" i="17"/>
  <c r="D23" i="17" s="1"/>
  <c r="B23" i="3"/>
  <c r="D23" i="3" s="1"/>
  <c r="C23" i="18"/>
  <c r="C45" i="17"/>
  <c r="C20" i="18"/>
  <c r="C21" i="18"/>
  <c r="D33" i="3"/>
  <c r="C36" i="17"/>
  <c r="C37" i="16"/>
  <c r="C39" i="17"/>
  <c r="C40" i="17"/>
  <c r="D35" i="16"/>
  <c r="D32" i="3"/>
  <c r="C39" i="3"/>
  <c r="C25" i="18"/>
  <c r="D37" i="3"/>
  <c r="D32" i="16"/>
  <c r="C42" i="17"/>
  <c r="D35" i="3"/>
  <c r="C19" i="18"/>
  <c r="D35" i="17"/>
  <c r="C34" i="16"/>
  <c r="D38" i="16"/>
  <c r="C37" i="17"/>
  <c r="D38" i="3"/>
  <c r="C31" i="16"/>
  <c r="D36" i="3"/>
  <c r="C39" i="16"/>
  <c r="C32" i="17"/>
  <c r="D33" i="16"/>
  <c r="D10" i="9"/>
  <c r="B11" i="18"/>
  <c r="B11" i="3"/>
  <c r="D40" i="16"/>
  <c r="C31" i="3"/>
  <c r="C18" i="18"/>
  <c r="D17" i="18"/>
  <c r="C34" i="17"/>
  <c r="C31" i="17"/>
  <c r="C24" i="18"/>
  <c r="C38" i="17"/>
  <c r="D8" i="9"/>
  <c r="C9" i="16" s="1"/>
  <c r="B9" i="18"/>
  <c r="B9" i="17"/>
  <c r="B9" i="3"/>
  <c r="D40" i="3"/>
  <c r="C43" i="17"/>
  <c r="D11" i="9"/>
  <c r="B12" i="3"/>
  <c r="B12" i="18"/>
  <c r="C44" i="17"/>
  <c r="C22" i="16" l="1"/>
  <c r="D23" i="16"/>
  <c r="D19" i="16"/>
  <c r="D24" i="16"/>
  <c r="C8" i="3"/>
  <c r="D17" i="16"/>
  <c r="C18" i="16"/>
  <c r="C11" i="17"/>
  <c r="C26" i="3"/>
  <c r="D21" i="16"/>
  <c r="C25" i="16"/>
  <c r="C12" i="17"/>
  <c r="C16" i="16"/>
  <c r="C10" i="3"/>
  <c r="C27" i="17"/>
  <c r="C27" i="3"/>
  <c r="C20" i="3"/>
  <c r="C13" i="16"/>
  <c r="D13" i="16"/>
  <c r="C12" i="16"/>
  <c r="D12" i="16"/>
  <c r="C5" i="16"/>
  <c r="D5" i="16"/>
  <c r="D15" i="16"/>
  <c r="C15" i="16"/>
  <c r="D7" i="16"/>
  <c r="C7" i="16"/>
  <c r="C11" i="16"/>
  <c r="D11" i="16"/>
  <c r="C26" i="16"/>
  <c r="D26" i="16"/>
  <c r="D8" i="16"/>
  <c r="C8" i="16"/>
  <c r="C20" i="16"/>
  <c r="D20" i="16"/>
  <c r="D10" i="16"/>
  <c r="C10" i="16"/>
  <c r="D27" i="16"/>
  <c r="C27" i="16"/>
  <c r="C14" i="17"/>
  <c r="C8" i="18"/>
  <c r="C13" i="18"/>
  <c r="C5" i="18"/>
  <c r="C7" i="18"/>
  <c r="C16" i="18"/>
  <c r="C14" i="3"/>
  <c r="C15" i="18"/>
  <c r="C10" i="18"/>
  <c r="C6" i="3"/>
  <c r="C6" i="18"/>
  <c r="D6" i="18"/>
  <c r="C14" i="18"/>
  <c r="D14" i="18"/>
  <c r="C7" i="3"/>
  <c r="D16" i="3"/>
  <c r="C17" i="3"/>
  <c r="C16" i="17"/>
  <c r="C29" i="3"/>
  <c r="D29" i="3"/>
  <c r="D29" i="17"/>
  <c r="C29" i="17"/>
  <c r="C25" i="3"/>
  <c r="C20" i="17"/>
  <c r="C21" i="17"/>
  <c r="C15" i="3"/>
  <c r="C6" i="17"/>
  <c r="C25" i="17"/>
  <c r="C21" i="3"/>
  <c r="C28" i="3"/>
  <c r="D28" i="3"/>
  <c r="D28" i="17"/>
  <c r="C28" i="17"/>
  <c r="C15" i="17"/>
  <c r="D20" i="3"/>
  <c r="C7" i="17"/>
  <c r="D27" i="17"/>
  <c r="D27" i="3"/>
  <c r="D22" i="3"/>
  <c r="C22" i="17"/>
  <c r="C26" i="17"/>
  <c r="D17" i="17"/>
  <c r="C13" i="3"/>
  <c r="D6" i="3"/>
  <c r="D14" i="17"/>
  <c r="D14" i="3"/>
  <c r="C24" i="17"/>
  <c r="C5" i="17"/>
  <c r="D26" i="3"/>
  <c r="C13" i="17"/>
  <c r="C19" i="17"/>
  <c r="C23" i="17"/>
  <c r="D24" i="3"/>
  <c r="D10" i="3"/>
  <c r="D8" i="3"/>
  <c r="C5" i="3"/>
  <c r="C18" i="3"/>
  <c r="D18" i="3"/>
  <c r="C8" i="17"/>
  <c r="C10" i="17"/>
  <c r="D18" i="17"/>
  <c r="C18" i="17"/>
  <c r="C23" i="3"/>
  <c r="C19" i="3"/>
  <c r="D19" i="3"/>
  <c r="D9" i="17"/>
  <c r="C9" i="17"/>
  <c r="C9" i="18"/>
  <c r="D9" i="18"/>
  <c r="D12" i="18"/>
  <c r="C12" i="18"/>
  <c r="D9" i="3"/>
  <c r="C9" i="3"/>
  <c r="C11" i="3"/>
  <c r="D11" i="3"/>
  <c r="D11" i="18"/>
  <c r="C11" i="18"/>
  <c r="C12" i="3"/>
  <c r="D12" i="3"/>
  <c r="M22" i="3" l="1"/>
  <c r="M21" i="3"/>
  <c r="M20" i="3"/>
  <c r="M19" i="3"/>
  <c r="V16" i="3"/>
  <c r="R16" i="3"/>
  <c r="P16" i="3"/>
  <c r="S16" i="3" s="1"/>
  <c r="V15" i="3"/>
  <c r="R15" i="3"/>
  <c r="N15" i="3"/>
  <c r="M15" i="3"/>
  <c r="V14" i="3"/>
  <c r="R14" i="3"/>
  <c r="N14" i="3"/>
  <c r="M14" i="3"/>
  <c r="V13" i="3"/>
  <c r="R13" i="3"/>
  <c r="N13" i="3"/>
  <c r="M13" i="3"/>
  <c r="V12" i="3"/>
  <c r="R12" i="3"/>
  <c r="N12" i="3"/>
  <c r="M12" i="3"/>
  <c r="V11" i="3"/>
  <c r="R11" i="3"/>
  <c r="N11" i="3"/>
  <c r="M11" i="3"/>
  <c r="V10" i="3"/>
  <c r="R10" i="3"/>
  <c r="N10" i="3"/>
  <c r="M10" i="3"/>
  <c r="V9" i="3"/>
  <c r="R9" i="3"/>
  <c r="N9" i="3"/>
  <c r="M9" i="3"/>
  <c r="V8" i="3"/>
  <c r="R8" i="3"/>
  <c r="N8" i="3"/>
  <c r="M8" i="3"/>
  <c r="V7" i="3"/>
  <c r="R7" i="3"/>
  <c r="N7" i="3"/>
  <c r="M7" i="3"/>
  <c r="V6" i="3"/>
  <c r="R6" i="3"/>
  <c r="N6" i="3"/>
  <c r="M6" i="3"/>
  <c r="V5" i="3"/>
  <c r="B3" i="9" l="1"/>
  <c r="L3" i="8" l="1"/>
  <c r="F3" i="8"/>
  <c r="E3" i="9"/>
  <c r="I48" i="9" s="1"/>
  <c r="C3" i="8"/>
  <c r="I3" i="8"/>
  <c r="C3" i="9"/>
  <c r="F49" i="9" l="1"/>
  <c r="G48" i="9"/>
  <c r="F48" i="9"/>
  <c r="H48" i="9"/>
  <c r="G49" i="9"/>
  <c r="H49" i="9"/>
  <c r="B4" i="18"/>
  <c r="B4" i="17"/>
  <c r="B4" i="16"/>
  <c r="B4" i="3"/>
  <c r="D3" i="9"/>
  <c r="F35" i="17" l="1"/>
  <c r="F28" i="17"/>
  <c r="L28" i="17" s="1"/>
  <c r="F36" i="17"/>
  <c r="I35" i="17"/>
  <c r="F13" i="17"/>
  <c r="I12" i="17"/>
  <c r="O12" i="17" s="1"/>
  <c r="I7" i="17"/>
  <c r="O7" i="17" s="1"/>
  <c r="I15" i="17"/>
  <c r="O15" i="17" s="1"/>
  <c r="F29" i="17"/>
  <c r="I28" i="17"/>
  <c r="O28" i="17" s="1"/>
  <c r="I36" i="17"/>
  <c r="F14" i="17"/>
  <c r="I13" i="17"/>
  <c r="F8" i="17"/>
  <c r="L8" i="17" s="1"/>
  <c r="F30" i="17"/>
  <c r="L30" i="17" s="1"/>
  <c r="I29" i="17"/>
  <c r="O29" i="17" s="1"/>
  <c r="F7" i="17"/>
  <c r="F15" i="17"/>
  <c r="I14" i="17"/>
  <c r="I30" i="17"/>
  <c r="F31" i="17"/>
  <c r="F32" i="17"/>
  <c r="F9" i="17"/>
  <c r="I8" i="17"/>
  <c r="O8" i="17" s="1"/>
  <c r="I32" i="17"/>
  <c r="O32" i="17" s="1"/>
  <c r="F10" i="17"/>
  <c r="I9" i="17"/>
  <c r="O9" i="17" s="1"/>
  <c r="F33" i="17"/>
  <c r="L33" i="17" s="1"/>
  <c r="F34" i="17"/>
  <c r="L34" i="17" s="1"/>
  <c r="I33" i="17"/>
  <c r="O33" i="17" s="1"/>
  <c r="F11" i="17"/>
  <c r="L11" i="17" s="1"/>
  <c r="I34" i="17"/>
  <c r="O34" i="17" s="1"/>
  <c r="F12" i="17"/>
  <c r="I11" i="17"/>
  <c r="I11" i="18"/>
  <c r="F10" i="18"/>
  <c r="I8" i="18"/>
  <c r="F11" i="18"/>
  <c r="I14" i="18"/>
  <c r="O14" i="18" s="1"/>
  <c r="F7" i="18"/>
  <c r="L7" i="18" s="1"/>
  <c r="I13" i="18"/>
  <c r="F12" i="18"/>
  <c r="F13" i="18"/>
  <c r="F15" i="18"/>
  <c r="I7" i="18"/>
  <c r="I15" i="18"/>
  <c r="F14" i="18"/>
  <c r="F9" i="18"/>
  <c r="L9" i="18" s="1"/>
  <c r="I9" i="18"/>
  <c r="F8" i="18"/>
  <c r="I10" i="18"/>
  <c r="F57" i="3"/>
  <c r="L57" i="3" s="1"/>
  <c r="F7" i="3"/>
  <c r="L7" i="3" s="1"/>
  <c r="F15" i="3"/>
  <c r="L15" i="3" s="1"/>
  <c r="I33" i="3"/>
  <c r="O33" i="3" s="1"/>
  <c r="F32" i="3"/>
  <c r="I10" i="3"/>
  <c r="O10" i="3" s="1"/>
  <c r="H43" i="3"/>
  <c r="L43" i="3" s="1"/>
  <c r="I11" i="3"/>
  <c r="I30" i="3"/>
  <c r="O30" i="3" s="1"/>
  <c r="H19" i="3"/>
  <c r="F8" i="3"/>
  <c r="I34" i="3"/>
  <c r="O34" i="3" s="1"/>
  <c r="F33" i="3"/>
  <c r="L33" i="3" s="1"/>
  <c r="H40" i="3"/>
  <c r="I7" i="3"/>
  <c r="F9" i="3"/>
  <c r="L9" i="3" s="1"/>
  <c r="I35" i="3"/>
  <c r="F34" i="3"/>
  <c r="L34" i="3" s="1"/>
  <c r="I12" i="3"/>
  <c r="O12" i="3" s="1"/>
  <c r="H20" i="3"/>
  <c r="F36" i="3"/>
  <c r="L36" i="3" s="1"/>
  <c r="H22" i="3"/>
  <c r="L22" i="3" s="1"/>
  <c r="I15" i="3"/>
  <c r="O15" i="3" s="1"/>
  <c r="F10" i="3"/>
  <c r="I28" i="3"/>
  <c r="O28" i="3" s="1"/>
  <c r="I36" i="3"/>
  <c r="O36" i="3" s="1"/>
  <c r="F35" i="3"/>
  <c r="L35" i="3" s="1"/>
  <c r="I13" i="3"/>
  <c r="O13" i="3" s="1"/>
  <c r="H21" i="3"/>
  <c r="L21" i="3" s="1"/>
  <c r="I29" i="3"/>
  <c r="O29" i="3" s="1"/>
  <c r="F28" i="3"/>
  <c r="I14" i="3"/>
  <c r="O14" i="3" s="1"/>
  <c r="F29" i="3"/>
  <c r="F11" i="3"/>
  <c r="L11" i="3" s="1"/>
  <c r="F12" i="3"/>
  <c r="L12" i="3" s="1"/>
  <c r="F13" i="3"/>
  <c r="I31" i="3"/>
  <c r="O31" i="3" s="1"/>
  <c r="F30" i="3"/>
  <c r="I8" i="3"/>
  <c r="O8" i="3" s="1"/>
  <c r="H41" i="3"/>
  <c r="F14" i="3"/>
  <c r="I32" i="3"/>
  <c r="O32" i="3" s="1"/>
  <c r="F31" i="3"/>
  <c r="L31" i="3" s="1"/>
  <c r="I9" i="3"/>
  <c r="H42" i="3"/>
  <c r="L42" i="3" s="1"/>
  <c r="D4" i="3"/>
  <c r="C4" i="3"/>
  <c r="H61" i="3"/>
  <c r="L61" i="3" s="1"/>
  <c r="I48" i="3"/>
  <c r="O48" i="3" s="1"/>
  <c r="H16" i="3"/>
  <c r="T16" i="3" s="1"/>
  <c r="W16" i="3" s="1"/>
  <c r="F54" i="3"/>
  <c r="L54" i="3" s="1"/>
  <c r="F53" i="3"/>
  <c r="L53" i="3" s="1"/>
  <c r="O54" i="3"/>
  <c r="H58" i="3"/>
  <c r="T58" i="3" s="1"/>
  <c r="W58" i="3" s="1"/>
  <c r="F52" i="3"/>
  <c r="L52" i="3" s="1"/>
  <c r="I27" i="3"/>
  <c r="O27" i="3" s="1"/>
  <c r="O57" i="3"/>
  <c r="I6" i="3"/>
  <c r="O6" i="3" s="1"/>
  <c r="F6" i="3"/>
  <c r="L6" i="3" s="1"/>
  <c r="H47" i="3"/>
  <c r="T47" i="3" s="1"/>
  <c r="W47" i="3" s="1"/>
  <c r="H62" i="3"/>
  <c r="L62" i="3" s="1"/>
  <c r="H63" i="3"/>
  <c r="L63" i="3" s="1"/>
  <c r="O51" i="3"/>
  <c r="F48" i="3"/>
  <c r="L48" i="3" s="1"/>
  <c r="F51" i="3"/>
  <c r="L51" i="3" s="1"/>
  <c r="F49" i="3"/>
  <c r="L49" i="3" s="1"/>
  <c r="F27" i="3"/>
  <c r="L27" i="3" s="1"/>
  <c r="H64" i="3"/>
  <c r="L64" i="3" s="1"/>
  <c r="H37" i="3"/>
  <c r="T37" i="3" s="1"/>
  <c r="W37" i="3" s="1"/>
  <c r="O55" i="3"/>
  <c r="O50" i="3"/>
  <c r="O52" i="3"/>
  <c r="C4" i="16"/>
  <c r="F8" i="16" s="1"/>
  <c r="L8" i="16" s="1"/>
  <c r="F30" i="16"/>
  <c r="L30" i="16" s="1"/>
  <c r="I10" i="16"/>
  <c r="O10" i="16" s="1"/>
  <c r="H41" i="16"/>
  <c r="L41" i="16" s="1"/>
  <c r="H58" i="16"/>
  <c r="T58" i="16" s="1"/>
  <c r="W58" i="16" s="1"/>
  <c r="F13" i="16"/>
  <c r="L13" i="16" s="1"/>
  <c r="D4" i="16"/>
  <c r="I57" i="16"/>
  <c r="O57" i="16" s="1"/>
  <c r="H43" i="16"/>
  <c r="L43" i="16" s="1"/>
  <c r="I34" i="16"/>
  <c r="O34" i="16" s="1"/>
  <c r="F33" i="16"/>
  <c r="L33" i="16" s="1"/>
  <c r="F32" i="16"/>
  <c r="L32" i="16" s="1"/>
  <c r="I6" i="16"/>
  <c r="O6" i="16" s="1"/>
  <c r="F49" i="16"/>
  <c r="L49" i="16" s="1"/>
  <c r="I33" i="16"/>
  <c r="O33" i="16" s="1"/>
  <c r="F55" i="16"/>
  <c r="L55" i="16" s="1"/>
  <c r="F57" i="16"/>
  <c r="L57" i="16" s="1"/>
  <c r="F14" i="16"/>
  <c r="L14" i="16" s="1"/>
  <c r="F12" i="16"/>
  <c r="L12" i="16" s="1"/>
  <c r="F15" i="16"/>
  <c r="L15" i="16" s="1"/>
  <c r="H63" i="16"/>
  <c r="L63" i="16" s="1"/>
  <c r="H19" i="16"/>
  <c r="L19" i="16" s="1"/>
  <c r="I30" i="16"/>
  <c r="O30" i="16" s="1"/>
  <c r="I48" i="16"/>
  <c r="O48" i="16" s="1"/>
  <c r="H21" i="16"/>
  <c r="L21" i="16" s="1"/>
  <c r="H22" i="16"/>
  <c r="L22" i="16" s="1"/>
  <c r="I50" i="16"/>
  <c r="O50" i="16" s="1"/>
  <c r="H61" i="16"/>
  <c r="L61" i="16" s="1"/>
  <c r="H40" i="16"/>
  <c r="L40" i="16" s="1"/>
  <c r="I13" i="16"/>
  <c r="O13" i="16" s="1"/>
  <c r="F51" i="16"/>
  <c r="L51" i="16" s="1"/>
  <c r="H37" i="16"/>
  <c r="T37" i="16" s="1"/>
  <c r="W37" i="16" s="1"/>
  <c r="F29" i="16"/>
  <c r="L29" i="16" s="1"/>
  <c r="F53" i="16"/>
  <c r="L53" i="16" s="1"/>
  <c r="H16" i="16"/>
  <c r="T16" i="16" s="1"/>
  <c r="W16" i="16" s="1"/>
  <c r="H26" i="16"/>
  <c r="T26" i="16" s="1"/>
  <c r="W26" i="16" s="1"/>
  <c r="W38" i="16" s="1"/>
  <c r="I49" i="16"/>
  <c r="O49" i="16" s="1"/>
  <c r="F11" i="16"/>
  <c r="L11" i="16" s="1"/>
  <c r="F50" i="16"/>
  <c r="L50" i="16" s="1"/>
  <c r="I52" i="16"/>
  <c r="O52" i="16" s="1"/>
  <c r="F9" i="16"/>
  <c r="L9" i="16" s="1"/>
  <c r="F56" i="16"/>
  <c r="L56" i="16" s="1"/>
  <c r="F35" i="16"/>
  <c r="L35" i="16" s="1"/>
  <c r="H47" i="16"/>
  <c r="T47" i="16" s="1"/>
  <c r="W47" i="16" s="1"/>
  <c r="I15" i="16"/>
  <c r="O15" i="16" s="1"/>
  <c r="I27" i="16"/>
  <c r="O27" i="16" s="1"/>
  <c r="I51" i="16"/>
  <c r="O51" i="16" s="1"/>
  <c r="F31" i="16"/>
  <c r="L31" i="16" s="1"/>
  <c r="I12" i="16"/>
  <c r="O12" i="16" s="1"/>
  <c r="H62" i="16"/>
  <c r="L62" i="16" s="1"/>
  <c r="F52" i="16"/>
  <c r="L52" i="16" s="1"/>
  <c r="I54" i="16"/>
  <c r="O54" i="16" s="1"/>
  <c r="I29" i="16"/>
  <c r="O29" i="16" s="1"/>
  <c r="H20" i="16"/>
  <c r="L20" i="16" s="1"/>
  <c r="I35" i="16"/>
  <c r="O35" i="16" s="1"/>
  <c r="F10" i="16"/>
  <c r="L10" i="16" s="1"/>
  <c r="I9" i="16"/>
  <c r="O9" i="16" s="1"/>
  <c r="I31" i="16"/>
  <c r="O31" i="16" s="1"/>
  <c r="H42" i="16"/>
  <c r="L42" i="16" s="1"/>
  <c r="I36" i="16"/>
  <c r="O36" i="16" s="1"/>
  <c r="F36" i="16"/>
  <c r="L36" i="16" s="1"/>
  <c r="F28" i="16"/>
  <c r="L28" i="16" s="1"/>
  <c r="F34" i="16"/>
  <c r="L34" i="16" s="1"/>
  <c r="I53" i="16"/>
  <c r="O53" i="16" s="1"/>
  <c r="I32" i="16"/>
  <c r="O32" i="16" s="1"/>
  <c r="H64" i="16"/>
  <c r="L64" i="16" s="1"/>
  <c r="F54" i="16"/>
  <c r="L54" i="16" s="1"/>
  <c r="I56" i="16"/>
  <c r="O56" i="16" s="1"/>
  <c r="I55" i="16"/>
  <c r="O55" i="16" s="1"/>
  <c r="I28" i="16"/>
  <c r="O28" i="16" s="1"/>
  <c r="H5" i="16"/>
  <c r="T5" i="16" s="1"/>
  <c r="W5" i="16" s="1"/>
  <c r="F7" i="16"/>
  <c r="L7" i="16" s="1"/>
  <c r="I11" i="16"/>
  <c r="O11" i="16" s="1"/>
  <c r="I8" i="16"/>
  <c r="O8" i="16" s="1"/>
  <c r="F27" i="16"/>
  <c r="L27" i="16" s="1"/>
  <c r="F48" i="16"/>
  <c r="L48" i="16" s="1"/>
  <c r="F6" i="16"/>
  <c r="L6" i="16" s="1"/>
  <c r="D4" i="17"/>
  <c r="C4" i="17"/>
  <c r="H26" i="17" s="1"/>
  <c r="T26" i="17" s="1"/>
  <c r="W26" i="17" s="1"/>
  <c r="F49" i="17"/>
  <c r="L49" i="17" s="1"/>
  <c r="O35" i="17"/>
  <c r="H37" i="17"/>
  <c r="T37" i="17" s="1"/>
  <c r="W37" i="17" s="1"/>
  <c r="L29" i="17"/>
  <c r="F55" i="17"/>
  <c r="L55" i="17" s="1"/>
  <c r="O36" i="17"/>
  <c r="I56" i="17"/>
  <c r="O56" i="17" s="1"/>
  <c r="H43" i="17"/>
  <c r="L43" i="17" s="1"/>
  <c r="I49" i="17"/>
  <c r="O49" i="17" s="1"/>
  <c r="L14" i="17"/>
  <c r="F53" i="17"/>
  <c r="L53" i="17" s="1"/>
  <c r="L31" i="17"/>
  <c r="F50" i="17"/>
  <c r="L50" i="17" s="1"/>
  <c r="I55" i="17"/>
  <c r="O55" i="17" s="1"/>
  <c r="F51" i="17"/>
  <c r="L51" i="17" s="1"/>
  <c r="L15" i="17"/>
  <c r="I6" i="17"/>
  <c r="O6" i="17" s="1"/>
  <c r="H40" i="17"/>
  <c r="L40" i="17" s="1"/>
  <c r="H64" i="17"/>
  <c r="L64" i="17" s="1"/>
  <c r="H47" i="17"/>
  <c r="T47" i="17" s="1"/>
  <c r="W47" i="17" s="1"/>
  <c r="H63" i="17"/>
  <c r="L63" i="17" s="1"/>
  <c r="I57" i="17"/>
  <c r="O57" i="17" s="1"/>
  <c r="H16" i="17"/>
  <c r="T16" i="17" s="1"/>
  <c r="W16" i="17" s="1"/>
  <c r="I51" i="17"/>
  <c r="O51" i="17" s="1"/>
  <c r="H20" i="17"/>
  <c r="L20" i="17" s="1"/>
  <c r="I48" i="17"/>
  <c r="O48" i="17" s="1"/>
  <c r="H41" i="17"/>
  <c r="L41" i="17" s="1"/>
  <c r="F27" i="17"/>
  <c r="L27" i="17" s="1"/>
  <c r="H5" i="17"/>
  <c r="T5" i="17" s="1"/>
  <c r="W5" i="17" s="1"/>
  <c r="F52" i="17"/>
  <c r="L52" i="17" s="1"/>
  <c r="I27" i="17"/>
  <c r="O27" i="17" s="1"/>
  <c r="H61" i="17"/>
  <c r="L61" i="17" s="1"/>
  <c r="L35" i="17"/>
  <c r="I52" i="17"/>
  <c r="O52" i="17" s="1"/>
  <c r="L36" i="17"/>
  <c r="H58" i="17"/>
  <c r="T58" i="17" s="1"/>
  <c r="W58" i="17" s="1"/>
  <c r="I50" i="17"/>
  <c r="O50" i="17" s="1"/>
  <c r="F54" i="17"/>
  <c r="L54" i="17" s="1"/>
  <c r="L12" i="17"/>
  <c r="H22" i="17"/>
  <c r="L22" i="17" s="1"/>
  <c r="F48" i="17"/>
  <c r="L48" i="17" s="1"/>
  <c r="H62" i="17"/>
  <c r="L62" i="17" s="1"/>
  <c r="F56" i="17"/>
  <c r="L56" i="17" s="1"/>
  <c r="L10" i="17"/>
  <c r="F57" i="17"/>
  <c r="L57" i="17" s="1"/>
  <c r="H21" i="17"/>
  <c r="L21" i="17" s="1"/>
  <c r="H19" i="17"/>
  <c r="L19" i="17" s="1"/>
  <c r="F6" i="17"/>
  <c r="L6" i="17" s="1"/>
  <c r="D4" i="18"/>
  <c r="C4" i="18"/>
  <c r="O11" i="18" s="1"/>
  <c r="H22" i="18"/>
  <c r="L22" i="18" s="1"/>
  <c r="I36" i="18"/>
  <c r="O36" i="18" s="1"/>
  <c r="L12" i="18"/>
  <c r="F55" i="18"/>
  <c r="L55" i="18" s="1"/>
  <c r="I30" i="18"/>
  <c r="O30" i="18" s="1"/>
  <c r="O7" i="18"/>
  <c r="F51" i="18"/>
  <c r="L51" i="18" s="1"/>
  <c r="F6" i="18"/>
  <c r="L6" i="18" s="1"/>
  <c r="H47" i="18"/>
  <c r="T47" i="18" s="1"/>
  <c r="W47" i="18" s="1"/>
  <c r="I57" i="18"/>
  <c r="O57" i="18" s="1"/>
  <c r="H16" i="18"/>
  <c r="T16" i="18" s="1"/>
  <c r="W16" i="18" s="1"/>
  <c r="I51" i="18"/>
  <c r="O51" i="18" s="1"/>
  <c r="H19" i="18"/>
  <c r="L19" i="18" s="1"/>
  <c r="F31" i="18"/>
  <c r="L31" i="18" s="1"/>
  <c r="F36" i="18"/>
  <c r="L36" i="18" s="1"/>
  <c r="L11" i="18"/>
  <c r="F27" i="18"/>
  <c r="L27" i="18" s="1"/>
  <c r="H5" i="18"/>
  <c r="T5" i="18" s="1"/>
  <c r="W5" i="18" s="1"/>
  <c r="F57" i="18"/>
  <c r="L57" i="18" s="1"/>
  <c r="O10" i="18"/>
  <c r="I35" i="18"/>
  <c r="O35" i="18" s="1"/>
  <c r="I33" i="18"/>
  <c r="O33" i="18" s="1"/>
  <c r="F29" i="18"/>
  <c r="L29" i="18" s="1"/>
  <c r="I56" i="18"/>
  <c r="O56" i="18" s="1"/>
  <c r="H61" i="18"/>
  <c r="L61" i="18" s="1"/>
  <c r="H20" i="18"/>
  <c r="L20" i="18" s="1"/>
  <c r="F30" i="18"/>
  <c r="L30" i="18" s="1"/>
  <c r="I27" i="18"/>
  <c r="O27" i="18" s="1"/>
  <c r="H26" i="18"/>
  <c r="T26" i="18" s="1"/>
  <c r="W26" i="18" s="1"/>
  <c r="L15" i="18"/>
  <c r="F56" i="18"/>
  <c r="L56" i="18" s="1"/>
  <c r="O13" i="18"/>
  <c r="F34" i="18"/>
  <c r="L34" i="18" s="1"/>
  <c r="F48" i="18"/>
  <c r="L48" i="18" s="1"/>
  <c r="F32" i="18"/>
  <c r="L32" i="18" s="1"/>
  <c r="I52" i="18"/>
  <c r="O52" i="18" s="1"/>
  <c r="I6" i="18"/>
  <c r="O6" i="18" s="1"/>
  <c r="H41" i="18"/>
  <c r="L41" i="18" s="1"/>
  <c r="H21" i="18"/>
  <c r="L21" i="18" s="1"/>
  <c r="F54" i="18"/>
  <c r="L54" i="18" s="1"/>
  <c r="H64" i="18"/>
  <c r="L64" i="18" s="1"/>
  <c r="L8" i="18"/>
  <c r="I49" i="18"/>
  <c r="O49" i="18" s="1"/>
  <c r="I28" i="18"/>
  <c r="O28" i="18" s="1"/>
  <c r="F53" i="18"/>
  <c r="L53" i="18" s="1"/>
  <c r="O8" i="18"/>
  <c r="F49" i="18"/>
  <c r="L49" i="18" s="1"/>
  <c r="I55" i="18"/>
  <c r="O55" i="18" s="1"/>
  <c r="O9" i="18"/>
  <c r="H43" i="18"/>
  <c r="L43" i="18" s="1"/>
  <c r="L13" i="18"/>
  <c r="H37" i="18"/>
  <c r="T37" i="18" s="1"/>
  <c r="W37" i="18" s="1"/>
  <c r="I50" i="18"/>
  <c r="O50" i="18" s="1"/>
  <c r="H63" i="18"/>
  <c r="L63" i="18" s="1"/>
  <c r="L14" i="18"/>
  <c r="F28" i="18"/>
  <c r="L28" i="18" s="1"/>
  <c r="I31" i="18"/>
  <c r="O31" i="18" s="1"/>
  <c r="L10" i="18"/>
  <c r="F52" i="18"/>
  <c r="L52" i="18" s="1"/>
  <c r="H42" i="18"/>
  <c r="L42" i="18" s="1"/>
  <c r="I29" i="18"/>
  <c r="O29" i="18" s="1"/>
  <c r="I34" i="18"/>
  <c r="O34" i="18" s="1"/>
  <c r="F50" i="18"/>
  <c r="L50" i="18" s="1"/>
  <c r="I54" i="18"/>
  <c r="O54" i="18" s="1"/>
  <c r="F33" i="18"/>
  <c r="L33" i="18" s="1"/>
  <c r="I48" i="18"/>
  <c r="O48" i="18" s="1"/>
  <c r="H58" i="18"/>
  <c r="T58" i="18" s="1"/>
  <c r="W58" i="18" s="1"/>
  <c r="I12" i="18" l="1"/>
  <c r="O12" i="18" s="1"/>
  <c r="I31" i="17"/>
  <c r="O31" i="17" s="1"/>
  <c r="T31" i="17" s="1"/>
  <c r="W31" i="17" s="1"/>
  <c r="I10" i="17"/>
  <c r="O10" i="17" s="1"/>
  <c r="H40" i="18"/>
  <c r="L40" i="18" s="1"/>
  <c r="L30" i="3"/>
  <c r="P30" i="3" s="1"/>
  <c r="S30" i="3" s="1"/>
  <c r="I7" i="16"/>
  <c r="O7" i="16" s="1"/>
  <c r="T7" i="16" s="1"/>
  <c r="W7" i="16" s="1"/>
  <c r="L7" i="17"/>
  <c r="P7" i="17" s="1"/>
  <c r="S7" i="17" s="1"/>
  <c r="I14" i="16"/>
  <c r="O14" i="16" s="1"/>
  <c r="P14" i="16" s="1"/>
  <c r="S14" i="16" s="1"/>
  <c r="L13" i="17"/>
  <c r="O35" i="3"/>
  <c r="T35" i="3" s="1"/>
  <c r="W35" i="3" s="1"/>
  <c r="O56" i="3"/>
  <c r="L32" i="17"/>
  <c r="P32" i="17" s="1"/>
  <c r="S32" i="17" s="1"/>
  <c r="O11" i="17"/>
  <c r="T11" i="17" s="1"/>
  <c r="W11" i="17" s="1"/>
  <c r="O11" i="3"/>
  <c r="T11" i="3" s="1"/>
  <c r="W11" i="3" s="1"/>
  <c r="O53" i="3"/>
  <c r="T53" i="3" s="1"/>
  <c r="W53" i="3" s="1"/>
  <c r="L32" i="3"/>
  <c r="T32" i="3" s="1"/>
  <c r="W32" i="3" s="1"/>
  <c r="L10" i="3"/>
  <c r="T10" i="3" s="1"/>
  <c r="W10" i="3" s="1"/>
  <c r="L20" i="3"/>
  <c r="F55" i="3"/>
  <c r="L55" i="3" s="1"/>
  <c r="T55" i="3" s="1"/>
  <c r="W55" i="3" s="1"/>
  <c r="L41" i="3"/>
  <c r="L13" i="3"/>
  <c r="P13" i="3" s="1"/>
  <c r="S13" i="3" s="1"/>
  <c r="L14" i="3"/>
  <c r="T14" i="3" s="1"/>
  <c r="W14" i="3" s="1"/>
  <c r="F56" i="3"/>
  <c r="L56" i="3" s="1"/>
  <c r="L40" i="3"/>
  <c r="H62" i="18"/>
  <c r="L62" i="18" s="1"/>
  <c r="F35" i="18"/>
  <c r="L35" i="18" s="1"/>
  <c r="T35" i="18" s="1"/>
  <c r="W35" i="18" s="1"/>
  <c r="O15" i="18"/>
  <c r="T15" i="18" s="1"/>
  <c r="W15" i="18" s="1"/>
  <c r="I32" i="18"/>
  <c r="O32" i="18" s="1"/>
  <c r="I53" i="18"/>
  <c r="O53" i="18" s="1"/>
  <c r="O59" i="18" s="1"/>
  <c r="O7" i="3"/>
  <c r="P7" i="3" s="1"/>
  <c r="S7" i="3" s="1"/>
  <c r="O49" i="3"/>
  <c r="P49" i="3" s="1"/>
  <c r="S49" i="3" s="1"/>
  <c r="L28" i="3"/>
  <c r="P28" i="3" s="1"/>
  <c r="S28" i="3" s="1"/>
  <c r="I54" i="17"/>
  <c r="O54" i="17" s="1"/>
  <c r="P54" i="17" s="1"/>
  <c r="S54" i="17" s="1"/>
  <c r="F50" i="3"/>
  <c r="L50" i="3" s="1"/>
  <c r="T50" i="3" s="1"/>
  <c r="W50" i="3" s="1"/>
  <c r="L8" i="3"/>
  <c r="P8" i="3" s="1"/>
  <c r="S8" i="3" s="1"/>
  <c r="L29" i="3"/>
  <c r="T29" i="3" s="1"/>
  <c r="W29" i="3" s="1"/>
  <c r="L9" i="17"/>
  <c r="P9" i="17" s="1"/>
  <c r="S9" i="17" s="1"/>
  <c r="O30" i="17"/>
  <c r="O14" i="17"/>
  <c r="T14" i="17" s="1"/>
  <c r="W14" i="17" s="1"/>
  <c r="O13" i="17"/>
  <c r="H42" i="17"/>
  <c r="L42" i="17" s="1"/>
  <c r="I53" i="17"/>
  <c r="O53" i="17" s="1"/>
  <c r="T53" i="17" s="1"/>
  <c r="W53" i="17" s="1"/>
  <c r="H26" i="3"/>
  <c r="T26" i="3" s="1"/>
  <c r="W26" i="3" s="1"/>
  <c r="P34" i="3"/>
  <c r="S34" i="3" s="1"/>
  <c r="P52" i="3"/>
  <c r="S52" i="3" s="1"/>
  <c r="H5" i="3"/>
  <c r="T5" i="3" s="1"/>
  <c r="W5" i="3" s="1"/>
  <c r="P28" i="16"/>
  <c r="S28" i="16" s="1"/>
  <c r="T7" i="18"/>
  <c r="W7" i="18" s="1"/>
  <c r="T34" i="16"/>
  <c r="W34" i="16" s="1"/>
  <c r="P31" i="18"/>
  <c r="S31" i="18" s="1"/>
  <c r="T52" i="16"/>
  <c r="W52" i="16" s="1"/>
  <c r="T57" i="17"/>
  <c r="W57" i="17" s="1"/>
  <c r="T55" i="17"/>
  <c r="W55" i="17" s="1"/>
  <c r="P12" i="18"/>
  <c r="S12" i="18" s="1"/>
  <c r="P49" i="17"/>
  <c r="S49" i="17" s="1"/>
  <c r="P36" i="3"/>
  <c r="S36" i="3" s="1"/>
  <c r="T10" i="18"/>
  <c r="W10" i="18" s="1"/>
  <c r="P50" i="18"/>
  <c r="S50" i="18" s="1"/>
  <c r="P8" i="18"/>
  <c r="S8" i="18" s="1"/>
  <c r="P13" i="18"/>
  <c r="S13" i="18" s="1"/>
  <c r="P56" i="18"/>
  <c r="S56" i="18" s="1"/>
  <c r="P51" i="18"/>
  <c r="S51" i="18" s="1"/>
  <c r="T15" i="16"/>
  <c r="W15" i="16" s="1"/>
  <c r="T54" i="3"/>
  <c r="W54" i="3" s="1"/>
  <c r="T51" i="3"/>
  <c r="W51" i="3" s="1"/>
  <c r="T11" i="18"/>
  <c r="W11" i="18" s="1"/>
  <c r="T55" i="18"/>
  <c r="W55" i="18" s="1"/>
  <c r="P12" i="17"/>
  <c r="S12" i="17" s="1"/>
  <c r="T57" i="18"/>
  <c r="W57" i="18" s="1"/>
  <c r="T36" i="18"/>
  <c r="W36" i="18" s="1"/>
  <c r="P29" i="18"/>
  <c r="S29" i="18" s="1"/>
  <c r="P52" i="17"/>
  <c r="S52" i="17" s="1"/>
  <c r="P51" i="17"/>
  <c r="S51" i="17" s="1"/>
  <c r="T36" i="17"/>
  <c r="W36" i="17" s="1"/>
  <c r="P33" i="17"/>
  <c r="S33" i="17" s="1"/>
  <c r="P29" i="17"/>
  <c r="S29" i="17" s="1"/>
  <c r="T10" i="17"/>
  <c r="W10" i="17" s="1"/>
  <c r="P15" i="17"/>
  <c r="S15" i="17" s="1"/>
  <c r="T50" i="16"/>
  <c r="W50" i="16" s="1"/>
  <c r="T57" i="16"/>
  <c r="W57" i="16" s="1"/>
  <c r="P51" i="16"/>
  <c r="S51" i="16" s="1"/>
  <c r="T33" i="16"/>
  <c r="W33" i="16" s="1"/>
  <c r="T29" i="16"/>
  <c r="W29" i="16" s="1"/>
  <c r="P36" i="16"/>
  <c r="S36" i="16" s="1"/>
  <c r="P30" i="16"/>
  <c r="S30" i="16" s="1"/>
  <c r="P14" i="18"/>
  <c r="S14" i="18" s="1"/>
  <c r="T8" i="17"/>
  <c r="W8" i="17" s="1"/>
  <c r="P31" i="16"/>
  <c r="S31" i="16" s="1"/>
  <c r="T56" i="16"/>
  <c r="W56" i="16" s="1"/>
  <c r="T12" i="16"/>
  <c r="W12" i="16" s="1"/>
  <c r="T32" i="16"/>
  <c r="W32" i="16" s="1"/>
  <c r="P57" i="3"/>
  <c r="S57" i="3" s="1"/>
  <c r="P52" i="18"/>
  <c r="S52" i="18" s="1"/>
  <c r="P33" i="18"/>
  <c r="S33" i="18" s="1"/>
  <c r="P53" i="16"/>
  <c r="S53" i="16" s="1"/>
  <c r="T10" i="16"/>
  <c r="W10" i="16" s="1"/>
  <c r="T34" i="17"/>
  <c r="W34" i="17" s="1"/>
  <c r="P9" i="18"/>
  <c r="S9" i="18" s="1"/>
  <c r="P49" i="18"/>
  <c r="S49" i="18" s="1"/>
  <c r="P50" i="17"/>
  <c r="S50" i="17" s="1"/>
  <c r="T35" i="17"/>
  <c r="W35" i="17" s="1"/>
  <c r="P35" i="16"/>
  <c r="S35" i="16" s="1"/>
  <c r="T8" i="16"/>
  <c r="W8" i="16" s="1"/>
  <c r="P31" i="3"/>
  <c r="S31" i="3" s="1"/>
  <c r="T30" i="18"/>
  <c r="W30" i="18" s="1"/>
  <c r="T56" i="17"/>
  <c r="W56" i="17" s="1"/>
  <c r="T11" i="16"/>
  <c r="W11" i="16" s="1"/>
  <c r="T55" i="16"/>
  <c r="W55" i="16" s="1"/>
  <c r="T33" i="3"/>
  <c r="W33" i="3" s="1"/>
  <c r="T54" i="16"/>
  <c r="W54" i="16" s="1"/>
  <c r="P9" i="16"/>
  <c r="S9" i="16" s="1"/>
  <c r="P54" i="18"/>
  <c r="S54" i="18" s="1"/>
  <c r="P34" i="18"/>
  <c r="S34" i="18" s="1"/>
  <c r="T28" i="18"/>
  <c r="W28" i="18" s="1"/>
  <c r="P28" i="17"/>
  <c r="S28" i="17" s="1"/>
  <c r="P49" i="16"/>
  <c r="S49" i="16" s="1"/>
  <c r="P13" i="16"/>
  <c r="S13" i="16" s="1"/>
  <c r="T49" i="18"/>
  <c r="W49" i="18" s="1"/>
  <c r="T54" i="18"/>
  <c r="W54" i="18" s="1"/>
  <c r="T34" i="18"/>
  <c r="W34" i="18" s="1"/>
  <c r="P30" i="18"/>
  <c r="S30" i="18" s="1"/>
  <c r="T6" i="17"/>
  <c r="W6" i="17" s="1"/>
  <c r="L59" i="17"/>
  <c r="T48" i="17"/>
  <c r="W48" i="17" s="1"/>
  <c r="P34" i="17"/>
  <c r="S34" i="17" s="1"/>
  <c r="P31" i="17"/>
  <c r="S31" i="17" s="1"/>
  <c r="L59" i="16"/>
  <c r="T48" i="16"/>
  <c r="W48" i="16" s="1"/>
  <c r="W59" i="16" s="1"/>
  <c r="P56" i="16"/>
  <c r="S56" i="16" s="1"/>
  <c r="P54" i="16"/>
  <c r="S54" i="16" s="1"/>
  <c r="T49" i="16"/>
  <c r="W49" i="16" s="1"/>
  <c r="T13" i="16"/>
  <c r="W13" i="16" s="1"/>
  <c r="T31" i="3"/>
  <c r="W31" i="3" s="1"/>
  <c r="P33" i="3"/>
  <c r="S33" i="3" s="1"/>
  <c r="P27" i="17"/>
  <c r="S27" i="17" s="1"/>
  <c r="T50" i="17"/>
  <c r="W50" i="17" s="1"/>
  <c r="P35" i="17"/>
  <c r="S35" i="17" s="1"/>
  <c r="L38" i="16"/>
  <c r="T27" i="16"/>
  <c r="W27" i="16" s="1"/>
  <c r="T35" i="16"/>
  <c r="W35" i="16" s="1"/>
  <c r="P6" i="16"/>
  <c r="S6" i="16" s="1"/>
  <c r="P48" i="17"/>
  <c r="S48" i="17" s="1"/>
  <c r="T56" i="18"/>
  <c r="W56" i="18" s="1"/>
  <c r="T12" i="18"/>
  <c r="W12" i="18" s="1"/>
  <c r="T12" i="17"/>
  <c r="W12" i="17" s="1"/>
  <c r="T49" i="17"/>
  <c r="W49" i="17" s="1"/>
  <c r="P8" i="16"/>
  <c r="S8" i="16" s="1"/>
  <c r="P50" i="16"/>
  <c r="S50" i="16" s="1"/>
  <c r="P48" i="18"/>
  <c r="S48" i="18" s="1"/>
  <c r="P10" i="17"/>
  <c r="S10" i="17" s="1"/>
  <c r="P6" i="17"/>
  <c r="S6" i="17" s="1"/>
  <c r="T33" i="18"/>
  <c r="W33" i="18" s="1"/>
  <c r="T52" i="18"/>
  <c r="W52" i="18" s="1"/>
  <c r="T13" i="18"/>
  <c r="W13" i="18" s="1"/>
  <c r="P28" i="18"/>
  <c r="S28" i="18" s="1"/>
  <c r="P6" i="18"/>
  <c r="S6" i="18" s="1"/>
  <c r="T29" i="18"/>
  <c r="W29" i="18" s="1"/>
  <c r="T27" i="18"/>
  <c r="W27" i="18" s="1"/>
  <c r="P57" i="18"/>
  <c r="S57" i="18" s="1"/>
  <c r="T52" i="17"/>
  <c r="W52" i="17" s="1"/>
  <c r="P56" i="17"/>
  <c r="S56" i="17" s="1"/>
  <c r="T28" i="17"/>
  <c r="W28" i="17" s="1"/>
  <c r="P11" i="16"/>
  <c r="S11" i="16" s="1"/>
  <c r="P32" i="16"/>
  <c r="S32" i="16" s="1"/>
  <c r="P12" i="16"/>
  <c r="S12" i="16" s="1"/>
  <c r="T9" i="16"/>
  <c r="W9" i="16" s="1"/>
  <c r="T53" i="16"/>
  <c r="W53" i="16" s="1"/>
  <c r="P10" i="16"/>
  <c r="S10" i="16" s="1"/>
  <c r="T57" i="3"/>
  <c r="W57" i="3" s="1"/>
  <c r="T48" i="3"/>
  <c r="W48" i="3" s="1"/>
  <c r="T9" i="18"/>
  <c r="W9" i="18" s="1"/>
  <c r="P36" i="18"/>
  <c r="S36" i="18" s="1"/>
  <c r="P8" i="17"/>
  <c r="S8" i="17" s="1"/>
  <c r="T33" i="17"/>
  <c r="W33" i="17" s="1"/>
  <c r="T15" i="17"/>
  <c r="W15" i="17" s="1"/>
  <c r="P36" i="17"/>
  <c r="S36" i="17" s="1"/>
  <c r="T31" i="16"/>
  <c r="W31" i="16" s="1"/>
  <c r="P52" i="16"/>
  <c r="S52" i="16" s="1"/>
  <c r="P34" i="16"/>
  <c r="S34" i="16" s="1"/>
  <c r="T30" i="16"/>
  <c r="W30" i="16" s="1"/>
  <c r="P27" i="3"/>
  <c r="S27" i="3" s="1"/>
  <c r="P48" i="3"/>
  <c r="S48" i="3" s="1"/>
  <c r="P27" i="18"/>
  <c r="S27" i="18" s="1"/>
  <c r="O59" i="16"/>
  <c r="Q61" i="16"/>
  <c r="Q62" i="16"/>
  <c r="P48" i="16"/>
  <c r="S48" i="16" s="1"/>
  <c r="S59" i="16" s="1"/>
  <c r="T34" i="3"/>
  <c r="W34" i="3" s="1"/>
  <c r="T8" i="18"/>
  <c r="W8" i="18" s="1"/>
  <c r="P10" i="18"/>
  <c r="S10" i="18" s="1"/>
  <c r="T51" i="18"/>
  <c r="W51" i="18" s="1"/>
  <c r="T51" i="17"/>
  <c r="W51" i="17" s="1"/>
  <c r="T28" i="16"/>
  <c r="W28" i="16" s="1"/>
  <c r="P27" i="16"/>
  <c r="S27" i="16" s="1"/>
  <c r="S38" i="16" s="1"/>
  <c r="Q40" i="16"/>
  <c r="Q41" i="16"/>
  <c r="O38" i="16"/>
  <c r="T51" i="16"/>
  <c r="W51" i="16" s="1"/>
  <c r="P57" i="16"/>
  <c r="S57" i="16" s="1"/>
  <c r="P51" i="3"/>
  <c r="S51" i="3" s="1"/>
  <c r="P54" i="3"/>
  <c r="S54" i="3" s="1"/>
  <c r="T30" i="3"/>
  <c r="W30" i="3" s="1"/>
  <c r="T50" i="18"/>
  <c r="W50" i="18" s="1"/>
  <c r="L17" i="18"/>
  <c r="T6" i="18"/>
  <c r="W6" i="18" s="1"/>
  <c r="P55" i="18"/>
  <c r="S55" i="18" s="1"/>
  <c r="P11" i="18"/>
  <c r="S11" i="18" s="1"/>
  <c r="T14" i="18"/>
  <c r="W14" i="18" s="1"/>
  <c r="T48" i="18"/>
  <c r="W48" i="18" s="1"/>
  <c r="L59" i="18"/>
  <c r="T31" i="18"/>
  <c r="W31" i="18" s="1"/>
  <c r="P7" i="18"/>
  <c r="S7" i="18" s="1"/>
  <c r="T27" i="17"/>
  <c r="W27" i="17" s="1"/>
  <c r="P57" i="17"/>
  <c r="S57" i="17" s="1"/>
  <c r="P55" i="17"/>
  <c r="S55" i="17" s="1"/>
  <c r="T29" i="17"/>
  <c r="W29" i="17" s="1"/>
  <c r="T6" i="16"/>
  <c r="W6" i="16" s="1"/>
  <c r="L17" i="16"/>
  <c r="P55" i="16"/>
  <c r="S55" i="16" s="1"/>
  <c r="T36" i="16"/>
  <c r="W36" i="16" s="1"/>
  <c r="P29" i="16"/>
  <c r="S29" i="16" s="1"/>
  <c r="P15" i="16"/>
  <c r="S15" i="16" s="1"/>
  <c r="P33" i="16"/>
  <c r="S33" i="16" s="1"/>
  <c r="T27" i="3"/>
  <c r="W27" i="3" s="1"/>
  <c r="T52" i="3"/>
  <c r="W52" i="3" s="1"/>
  <c r="T36" i="3"/>
  <c r="W36" i="3" s="1"/>
  <c r="T12" i="3"/>
  <c r="W12" i="3" s="1"/>
  <c r="L19" i="3"/>
  <c r="O9" i="3"/>
  <c r="T9" i="3" s="1"/>
  <c r="W9" i="3" s="1"/>
  <c r="P15" i="3"/>
  <c r="S15" i="3" s="1"/>
  <c r="T6" i="3"/>
  <c r="W6" i="3" s="1"/>
  <c r="T15" i="3"/>
  <c r="W15" i="3" s="1"/>
  <c r="P6" i="3"/>
  <c r="S6" i="3" s="1"/>
  <c r="P12" i="3"/>
  <c r="S12" i="3" s="1"/>
  <c r="P7" i="16" l="1"/>
  <c r="S7" i="16" s="1"/>
  <c r="S17" i="16" s="1"/>
  <c r="T7" i="17"/>
  <c r="W7" i="17" s="1"/>
  <c r="O17" i="16"/>
  <c r="Q20" i="16"/>
  <c r="O38" i="3"/>
  <c r="T14" i="16"/>
  <c r="W14" i="16" s="1"/>
  <c r="W17" i="16" s="1"/>
  <c r="Q19" i="16"/>
  <c r="Q21" i="16" s="1"/>
  <c r="P35" i="3"/>
  <c r="S35" i="3" s="1"/>
  <c r="T13" i="17"/>
  <c r="W13" i="17" s="1"/>
  <c r="T56" i="3"/>
  <c r="W56" i="3" s="1"/>
  <c r="Q40" i="17"/>
  <c r="Q43" i="17" s="1"/>
  <c r="L38" i="17"/>
  <c r="T32" i="17"/>
  <c r="W32" i="17" s="1"/>
  <c r="P11" i="17"/>
  <c r="S11" i="17" s="1"/>
  <c r="P11" i="3"/>
  <c r="S11" i="3" s="1"/>
  <c r="P53" i="3"/>
  <c r="S53" i="3" s="1"/>
  <c r="P32" i="3"/>
  <c r="S32" i="3" s="1"/>
  <c r="P10" i="3"/>
  <c r="S10" i="3" s="1"/>
  <c r="P55" i="3"/>
  <c r="S55" i="3" s="1"/>
  <c r="Q41" i="18"/>
  <c r="T13" i="3"/>
  <c r="W13" i="3" s="1"/>
  <c r="W17" i="18"/>
  <c r="O17" i="18"/>
  <c r="Q19" i="18"/>
  <c r="Q21" i="18" s="1"/>
  <c r="Q20" i="18"/>
  <c r="P53" i="18"/>
  <c r="S53" i="18" s="1"/>
  <c r="S59" i="18" s="1"/>
  <c r="P14" i="3"/>
  <c r="S14" i="3" s="1"/>
  <c r="O59" i="3"/>
  <c r="P15" i="18"/>
  <c r="S15" i="18" s="1"/>
  <c r="S17" i="18" s="1"/>
  <c r="T28" i="3"/>
  <c r="W28" i="3" s="1"/>
  <c r="W38" i="3" s="1"/>
  <c r="Q62" i="18"/>
  <c r="T53" i="18"/>
  <c r="W53" i="18" s="1"/>
  <c r="W59" i="18" s="1"/>
  <c r="L38" i="18"/>
  <c r="Q61" i="18"/>
  <c r="Q63" i="18" s="1"/>
  <c r="Q40" i="18"/>
  <c r="Q43" i="18" s="1"/>
  <c r="P56" i="3"/>
  <c r="S56" i="3" s="1"/>
  <c r="O38" i="18"/>
  <c r="T7" i="3"/>
  <c r="W7" i="3" s="1"/>
  <c r="P35" i="18"/>
  <c r="S35" i="18" s="1"/>
  <c r="T49" i="3"/>
  <c r="W49" i="3" s="1"/>
  <c r="Q61" i="3"/>
  <c r="Q63" i="3" s="1"/>
  <c r="P32" i="18"/>
  <c r="S32" i="18" s="1"/>
  <c r="Q40" i="3"/>
  <c r="Q43" i="3" s="1"/>
  <c r="T32" i="18"/>
  <c r="W32" i="18" s="1"/>
  <c r="W38" i="18" s="1"/>
  <c r="Q41" i="3"/>
  <c r="Q62" i="3"/>
  <c r="L17" i="3"/>
  <c r="T54" i="17"/>
  <c r="W54" i="17" s="1"/>
  <c r="Q41" i="17"/>
  <c r="P29" i="3"/>
  <c r="S29" i="3" s="1"/>
  <c r="L17" i="17"/>
  <c r="T8" i="3"/>
  <c r="W8" i="3" s="1"/>
  <c r="L38" i="3"/>
  <c r="P50" i="3"/>
  <c r="S50" i="3" s="1"/>
  <c r="O38" i="17"/>
  <c r="P30" i="17"/>
  <c r="S30" i="17" s="1"/>
  <c r="S38" i="17" s="1"/>
  <c r="L59" i="3"/>
  <c r="T30" i="17"/>
  <c r="W30" i="17" s="1"/>
  <c r="T9" i="17"/>
  <c r="W9" i="17" s="1"/>
  <c r="P14" i="17"/>
  <c r="S14" i="17" s="1"/>
  <c r="O59" i="17"/>
  <c r="P13" i="17"/>
  <c r="S13" i="17" s="1"/>
  <c r="Q20" i="17"/>
  <c r="P53" i="17"/>
  <c r="S53" i="17" s="1"/>
  <c r="S59" i="17" s="1"/>
  <c r="O17" i="17"/>
  <c r="Q19" i="17"/>
  <c r="Q21" i="17" s="1"/>
  <c r="Q61" i="17"/>
  <c r="Q63" i="17" s="1"/>
  <c r="Q62" i="17"/>
  <c r="W59" i="17"/>
  <c r="Q64" i="16"/>
  <c r="Q63" i="16"/>
  <c r="Q42" i="16"/>
  <c r="Q43" i="16"/>
  <c r="P9" i="3"/>
  <c r="S9" i="3" s="1"/>
  <c r="Q19" i="3"/>
  <c r="Q22" i="3" s="1"/>
  <c r="Q20" i="3"/>
  <c r="O17" i="3"/>
  <c r="S38" i="18" l="1"/>
  <c r="W38" i="17"/>
  <c r="Q22" i="16"/>
  <c r="W17" i="17"/>
  <c r="W59" i="3"/>
  <c r="Q42" i="17"/>
  <c r="S38" i="3"/>
  <c r="S17" i="3"/>
  <c r="Q22" i="18"/>
  <c r="S59" i="3"/>
  <c r="W17" i="3"/>
  <c r="Q64" i="18"/>
  <c r="Q42" i="18"/>
  <c r="Q42" i="3"/>
  <c r="Q64" i="3"/>
  <c r="S17" i="17"/>
  <c r="Q22" i="17"/>
  <c r="Q64" i="17"/>
  <c r="Q2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CiT Systems</author>
  </authors>
  <commentList>
    <comment ref="T5" authorId="0" shapeId="0" xr:uid="{00000000-0006-0000-0300-000001000000}">
      <text>
        <r>
          <rPr>
            <sz val="11"/>
            <color indexed="8"/>
            <rFont val="Helvetica Neue"/>
          </rPr>
          <t>CiT Systems:
Drummer's weight + 14 kgs for drums etc.</t>
        </r>
      </text>
    </comment>
    <comment ref="L16" authorId="0" shapeId="0" xr:uid="{00000000-0006-0000-0300-000002000000}">
      <text>
        <r>
          <rPr>
            <sz val="11"/>
            <color indexed="8"/>
            <rFont val="Helvetica Neue"/>
          </rPr>
          <t>CiT Systems:
Weight of sweep oar.</t>
        </r>
      </text>
    </comment>
    <comment ref="T16" authorId="0" shapeId="0" xr:uid="{00000000-0006-0000-0300-000003000000}">
      <text>
        <r>
          <rPr>
            <sz val="11"/>
            <color indexed="8"/>
            <rFont val="Helvetica Neue"/>
          </rPr>
          <t>CiT Systems:
Sweep's weight + 7 kgs for sweep oar etc.</t>
        </r>
      </text>
    </comment>
    <comment ref="S17" authorId="0" shapeId="0" xr:uid="{00000000-0006-0000-0300-000004000000}">
      <text>
        <r>
          <rPr>
            <sz val="11"/>
            <color indexed="8"/>
            <rFont val="Helvetica Neue"/>
          </rPr>
          <t>CiT Systems:
11kg means unbalanced such that 11kg right heavy in seat 5. +ve for right heavy, -ve for left heavy.</t>
        </r>
      </text>
    </comment>
    <comment ref="W17" authorId="0" shapeId="0" xr:uid="{00000000-0006-0000-0300-000005000000}">
      <text>
        <r>
          <rPr>
            <sz val="11"/>
            <color indexed="8"/>
            <rFont val="Helvetica Neue"/>
          </rPr>
          <t>CiT Systems:
83 kgs means it is unbalanced such that 83kgs placed at the front of the boat. +ve for front heavy, -ve for back heavy.</t>
        </r>
      </text>
    </comment>
    <comment ref="T26" authorId="0" shapeId="0" xr:uid="{00000000-0006-0000-0300-000006000000}">
      <text>
        <r>
          <rPr>
            <sz val="11"/>
            <color indexed="8"/>
            <rFont val="Helvetica Neue"/>
          </rPr>
          <t>CiT Systems:
Drummer's weight + 14 kgs for drums etc.</t>
        </r>
      </text>
    </comment>
    <comment ref="L37" authorId="0" shapeId="0" xr:uid="{00000000-0006-0000-0300-000007000000}">
      <text>
        <r>
          <rPr>
            <sz val="11"/>
            <color indexed="8"/>
            <rFont val="Helvetica Neue"/>
          </rPr>
          <t>CiT Systems:
Weight of sweep oar.</t>
        </r>
      </text>
    </comment>
    <comment ref="T37" authorId="0" shapeId="0" xr:uid="{00000000-0006-0000-0300-000008000000}">
      <text>
        <r>
          <rPr>
            <sz val="11"/>
            <color indexed="8"/>
            <rFont val="Helvetica Neue"/>
          </rPr>
          <t>CiT Systems:
Sweep's weight + 7 kgs for sweep oar etc.</t>
        </r>
      </text>
    </comment>
    <comment ref="S38" authorId="0" shapeId="0" xr:uid="{00000000-0006-0000-0300-000009000000}">
      <text>
        <r>
          <rPr>
            <sz val="11"/>
            <color indexed="8"/>
            <rFont val="Helvetica Neue"/>
          </rPr>
          <t>CiT Systems:
11kg means unbalanced such that 11kg right heavy in seat 5. +ve for right heavy, -ve for left heavy.</t>
        </r>
      </text>
    </comment>
    <comment ref="W38" authorId="0" shapeId="0" xr:uid="{00000000-0006-0000-0300-00000A000000}">
      <text>
        <r>
          <rPr>
            <sz val="11"/>
            <color indexed="8"/>
            <rFont val="Helvetica Neue"/>
          </rPr>
          <t>CiT Systems:
83 kgs means it is unbalanced such that 83kgs placed at the front of the boat. +ve for front heavy, -ve for back heavy.</t>
        </r>
      </text>
    </comment>
    <comment ref="T47" authorId="0" shapeId="0" xr:uid="{00000000-0006-0000-0300-00000B000000}">
      <text>
        <r>
          <rPr>
            <sz val="11"/>
            <color indexed="8"/>
            <rFont val="Helvetica Neue"/>
          </rPr>
          <t>CiT Systems:
Drummer's weight + 14 kgs for drums etc.</t>
        </r>
      </text>
    </comment>
    <comment ref="L58" authorId="0" shapeId="0" xr:uid="{00000000-0006-0000-0300-00000C000000}">
      <text>
        <r>
          <rPr>
            <sz val="11"/>
            <color indexed="8"/>
            <rFont val="Helvetica Neue"/>
          </rPr>
          <t>CiT Systems:
Weight of sweep oar.</t>
        </r>
      </text>
    </comment>
    <comment ref="T58" authorId="0" shapeId="0" xr:uid="{00000000-0006-0000-0300-00000D000000}">
      <text>
        <r>
          <rPr>
            <sz val="11"/>
            <color indexed="8"/>
            <rFont val="Helvetica Neue"/>
          </rPr>
          <t>CiT Systems:
Sweep's weight + 7 kgs for sweep oar etc.</t>
        </r>
      </text>
    </comment>
    <comment ref="S59" authorId="0" shapeId="0" xr:uid="{00000000-0006-0000-0300-00000E000000}">
      <text>
        <r>
          <rPr>
            <sz val="11"/>
            <color indexed="8"/>
            <rFont val="Helvetica Neue"/>
          </rPr>
          <t>CiT Systems:
11kg means unbalanced such that 11kg right heavy in seat 5. +ve for right heavy, -ve for left heavy.</t>
        </r>
      </text>
    </comment>
    <comment ref="W59" authorId="0" shapeId="0" xr:uid="{00000000-0006-0000-0300-00000F000000}">
      <text>
        <r>
          <rPr>
            <sz val="11"/>
            <color indexed="8"/>
            <rFont val="Helvetica Neue"/>
          </rPr>
          <t>CiT Systems:
83 kgs means it is unbalanced such that 83kgs placed at the front of the boat. +ve for front heavy, -ve for back heavy.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CiT Systems</author>
  </authors>
  <commentList>
    <comment ref="T5" authorId="0" shapeId="0" xr:uid="{00000000-0006-0000-0400-000001000000}">
      <text>
        <r>
          <rPr>
            <sz val="11"/>
            <color indexed="8"/>
            <rFont val="Helvetica Neue"/>
          </rPr>
          <t>CiT Systems:
Drummer's weight + 14 kgs for drums etc.</t>
        </r>
      </text>
    </comment>
    <comment ref="L16" authorId="0" shapeId="0" xr:uid="{00000000-0006-0000-0400-000002000000}">
      <text>
        <r>
          <rPr>
            <sz val="11"/>
            <color indexed="8"/>
            <rFont val="Helvetica Neue"/>
          </rPr>
          <t>CiT Systems:
Weight of sweep oar.</t>
        </r>
      </text>
    </comment>
    <comment ref="T16" authorId="0" shapeId="0" xr:uid="{00000000-0006-0000-0400-000003000000}">
      <text>
        <r>
          <rPr>
            <sz val="11"/>
            <color indexed="8"/>
            <rFont val="Helvetica Neue"/>
          </rPr>
          <t>CiT Systems:
Sweep's weight + 7 kgs for sweep oar etc.</t>
        </r>
      </text>
    </comment>
    <comment ref="S17" authorId="0" shapeId="0" xr:uid="{00000000-0006-0000-0400-000004000000}">
      <text>
        <r>
          <rPr>
            <sz val="11"/>
            <color indexed="8"/>
            <rFont val="Helvetica Neue"/>
          </rPr>
          <t>CiT Systems:
11kg means unbalanced such that 11kg right heavy in seat 5. +ve for right heavy, -ve for left heavy.</t>
        </r>
      </text>
    </comment>
    <comment ref="W17" authorId="0" shapeId="0" xr:uid="{00000000-0006-0000-0400-000005000000}">
      <text>
        <r>
          <rPr>
            <sz val="11"/>
            <color indexed="8"/>
            <rFont val="Helvetica Neue"/>
          </rPr>
          <t>CiT Systems:
83 kgs means it is unbalanced such that 83kgs placed at the front of the boat. +ve for front heavy, -ve for back heavy.</t>
        </r>
      </text>
    </comment>
    <comment ref="T26" authorId="0" shapeId="0" xr:uid="{00000000-0006-0000-0400-000006000000}">
      <text>
        <r>
          <rPr>
            <sz val="11"/>
            <color indexed="8"/>
            <rFont val="Helvetica Neue"/>
          </rPr>
          <t>CiT Systems:
Drummer's weight + 14 kgs for drums etc.</t>
        </r>
      </text>
    </comment>
    <comment ref="L37" authorId="0" shapeId="0" xr:uid="{00000000-0006-0000-0400-000007000000}">
      <text>
        <r>
          <rPr>
            <sz val="11"/>
            <color indexed="8"/>
            <rFont val="Helvetica Neue"/>
          </rPr>
          <t>CiT Systems:
Weight of sweep oar.</t>
        </r>
      </text>
    </comment>
    <comment ref="T37" authorId="0" shapeId="0" xr:uid="{00000000-0006-0000-0400-000008000000}">
      <text>
        <r>
          <rPr>
            <sz val="11"/>
            <color indexed="8"/>
            <rFont val="Helvetica Neue"/>
          </rPr>
          <t>CiT Systems:
Sweep's weight + 7 kgs for sweep oar etc.</t>
        </r>
      </text>
    </comment>
    <comment ref="S38" authorId="0" shapeId="0" xr:uid="{00000000-0006-0000-0400-000009000000}">
      <text>
        <r>
          <rPr>
            <sz val="11"/>
            <color indexed="8"/>
            <rFont val="Helvetica Neue"/>
          </rPr>
          <t>CiT Systems:
11kg means unbalanced such that 11kg right heavy in seat 5. +ve for right heavy, -ve for left heavy.</t>
        </r>
      </text>
    </comment>
    <comment ref="W38" authorId="0" shapeId="0" xr:uid="{00000000-0006-0000-0400-00000A000000}">
      <text>
        <r>
          <rPr>
            <sz val="11"/>
            <color indexed="8"/>
            <rFont val="Helvetica Neue"/>
          </rPr>
          <t>CiT Systems:
83 kgs means it is unbalanced such that 83kgs placed at the front of the boat. +ve for front heavy, -ve for back heavy.</t>
        </r>
      </text>
    </comment>
    <comment ref="T47" authorId="0" shapeId="0" xr:uid="{00000000-0006-0000-0400-00000B000000}">
      <text>
        <r>
          <rPr>
            <sz val="11"/>
            <color indexed="8"/>
            <rFont val="Helvetica Neue"/>
          </rPr>
          <t>CiT Systems:
Drummer's weight + 14 kgs for drums etc.</t>
        </r>
      </text>
    </comment>
    <comment ref="L58" authorId="0" shapeId="0" xr:uid="{00000000-0006-0000-0400-00000C000000}">
      <text>
        <r>
          <rPr>
            <sz val="11"/>
            <color indexed="8"/>
            <rFont val="Helvetica Neue"/>
          </rPr>
          <t>CiT Systems:
Weight of sweep oar.</t>
        </r>
      </text>
    </comment>
    <comment ref="T58" authorId="0" shapeId="0" xr:uid="{00000000-0006-0000-0400-00000D000000}">
      <text>
        <r>
          <rPr>
            <sz val="11"/>
            <color indexed="8"/>
            <rFont val="Helvetica Neue"/>
          </rPr>
          <t>CiT Systems:
Sweep's weight + 7 kgs for sweep oar etc.</t>
        </r>
      </text>
    </comment>
    <comment ref="S59" authorId="0" shapeId="0" xr:uid="{00000000-0006-0000-0400-00000E000000}">
      <text>
        <r>
          <rPr>
            <sz val="11"/>
            <color indexed="8"/>
            <rFont val="Helvetica Neue"/>
          </rPr>
          <t>CiT Systems:
11kg means unbalanced such that 11kg right heavy in seat 5. +ve for right heavy, -ve for left heavy.</t>
        </r>
      </text>
    </comment>
    <comment ref="W59" authorId="0" shapeId="0" xr:uid="{00000000-0006-0000-0400-00000F000000}">
      <text>
        <r>
          <rPr>
            <sz val="11"/>
            <color indexed="8"/>
            <rFont val="Helvetica Neue"/>
          </rPr>
          <t>CiT Systems:
83 kgs means it is unbalanced such that 83kgs placed at the front of the boat. +ve for front heavy, -ve for back heavy.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CiT Systems</author>
  </authors>
  <commentList>
    <comment ref="T5" authorId="0" shapeId="0" xr:uid="{00000000-0006-0000-0500-000001000000}">
      <text>
        <r>
          <rPr>
            <sz val="11"/>
            <color indexed="8"/>
            <rFont val="Helvetica Neue"/>
          </rPr>
          <t>CiT Systems:
Drummer's weight + 14 kgs for drums etc.</t>
        </r>
      </text>
    </comment>
    <comment ref="L16" authorId="0" shapeId="0" xr:uid="{00000000-0006-0000-0500-000002000000}">
      <text>
        <r>
          <rPr>
            <sz val="11"/>
            <color indexed="8"/>
            <rFont val="Helvetica Neue"/>
          </rPr>
          <t>CiT Systems:
Weight of sweep oar.</t>
        </r>
      </text>
    </comment>
    <comment ref="T16" authorId="0" shapeId="0" xr:uid="{00000000-0006-0000-0500-000003000000}">
      <text>
        <r>
          <rPr>
            <sz val="11"/>
            <color indexed="8"/>
            <rFont val="Helvetica Neue"/>
          </rPr>
          <t>CiT Systems:
Sweep's weight + 7 kgs for sweep oar etc.</t>
        </r>
      </text>
    </comment>
    <comment ref="S17" authorId="0" shapeId="0" xr:uid="{00000000-0006-0000-0500-000004000000}">
      <text>
        <r>
          <rPr>
            <sz val="11"/>
            <color indexed="8"/>
            <rFont val="Helvetica Neue"/>
          </rPr>
          <t>CiT Systems:
11kg means unbalanced such that 11kg right heavy in seat 5. +ve for right heavy, -ve for left heavy.</t>
        </r>
      </text>
    </comment>
    <comment ref="W17" authorId="0" shapeId="0" xr:uid="{00000000-0006-0000-0500-000005000000}">
      <text>
        <r>
          <rPr>
            <sz val="11"/>
            <color indexed="8"/>
            <rFont val="Helvetica Neue"/>
          </rPr>
          <t>CiT Systems:
83 kgs means it is unbalanced such that 83kgs placed at the front of the boat. +ve for front heavy, -ve for back heavy.</t>
        </r>
      </text>
    </comment>
    <comment ref="T26" authorId="0" shapeId="0" xr:uid="{00000000-0006-0000-0500-000006000000}">
      <text>
        <r>
          <rPr>
            <sz val="11"/>
            <color indexed="8"/>
            <rFont val="Helvetica Neue"/>
          </rPr>
          <t>CiT Systems:
Drummer's weight + 14 kgs for drums etc.</t>
        </r>
      </text>
    </comment>
    <comment ref="L37" authorId="0" shapeId="0" xr:uid="{00000000-0006-0000-0500-000007000000}">
      <text>
        <r>
          <rPr>
            <sz val="11"/>
            <color indexed="8"/>
            <rFont val="Helvetica Neue"/>
          </rPr>
          <t>CiT Systems:
Weight of sweep oar.</t>
        </r>
      </text>
    </comment>
    <comment ref="T37" authorId="0" shapeId="0" xr:uid="{00000000-0006-0000-0500-000008000000}">
      <text>
        <r>
          <rPr>
            <sz val="11"/>
            <color indexed="8"/>
            <rFont val="Helvetica Neue"/>
          </rPr>
          <t>CiT Systems:
Sweep's weight + 7 kgs for sweep oar etc.</t>
        </r>
      </text>
    </comment>
    <comment ref="S38" authorId="0" shapeId="0" xr:uid="{00000000-0006-0000-0500-000009000000}">
      <text>
        <r>
          <rPr>
            <sz val="11"/>
            <color indexed="8"/>
            <rFont val="Helvetica Neue"/>
          </rPr>
          <t>CiT Systems:
11kg means unbalanced such that 11kg right heavy in seat 5. +ve for right heavy, -ve for left heavy.</t>
        </r>
      </text>
    </comment>
    <comment ref="W38" authorId="0" shapeId="0" xr:uid="{00000000-0006-0000-0500-00000A000000}">
      <text>
        <r>
          <rPr>
            <sz val="11"/>
            <color indexed="8"/>
            <rFont val="Helvetica Neue"/>
          </rPr>
          <t>CiT Systems:
83 kgs means it is unbalanced such that 83kgs placed at the front of the boat. +ve for front heavy, -ve for back heavy.</t>
        </r>
      </text>
    </comment>
    <comment ref="T47" authorId="0" shapeId="0" xr:uid="{00000000-0006-0000-0500-00000B000000}">
      <text>
        <r>
          <rPr>
            <sz val="11"/>
            <color indexed="8"/>
            <rFont val="Helvetica Neue"/>
          </rPr>
          <t>CiT Systems:
Drummer's weight + 14 kgs for drums etc.</t>
        </r>
      </text>
    </comment>
    <comment ref="L58" authorId="0" shapeId="0" xr:uid="{00000000-0006-0000-0500-00000C000000}">
      <text>
        <r>
          <rPr>
            <sz val="11"/>
            <color indexed="8"/>
            <rFont val="Helvetica Neue"/>
          </rPr>
          <t>CiT Systems:
Weight of sweep oar.</t>
        </r>
      </text>
    </comment>
    <comment ref="T58" authorId="0" shapeId="0" xr:uid="{00000000-0006-0000-0500-00000D000000}">
      <text>
        <r>
          <rPr>
            <sz val="11"/>
            <color indexed="8"/>
            <rFont val="Helvetica Neue"/>
          </rPr>
          <t>CiT Systems:
Sweep's weight + 7 kgs for sweep oar etc.</t>
        </r>
      </text>
    </comment>
    <comment ref="S59" authorId="0" shapeId="0" xr:uid="{00000000-0006-0000-0500-00000E000000}">
      <text>
        <r>
          <rPr>
            <sz val="11"/>
            <color indexed="8"/>
            <rFont val="Helvetica Neue"/>
          </rPr>
          <t>CiT Systems:
11kg means unbalanced such that 11kg right heavy in seat 5. +ve for right heavy, -ve for left heavy.</t>
        </r>
      </text>
    </comment>
    <comment ref="W59" authorId="0" shapeId="0" xr:uid="{00000000-0006-0000-0500-00000F000000}">
      <text>
        <r>
          <rPr>
            <sz val="11"/>
            <color indexed="8"/>
            <rFont val="Helvetica Neue"/>
          </rPr>
          <t>CiT Systems:
83 kgs means it is unbalanced such that 83kgs placed at the front of the boat. +ve for front heavy, -ve for back heavy.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CiT Systems</author>
  </authors>
  <commentList>
    <comment ref="T5" authorId="0" shapeId="0" xr:uid="{00000000-0006-0000-0600-000001000000}">
      <text>
        <r>
          <rPr>
            <sz val="11"/>
            <color indexed="8"/>
            <rFont val="Helvetica Neue"/>
          </rPr>
          <t>CiT Systems:
Drummer's weight + 14 kgs for drums etc.</t>
        </r>
      </text>
    </comment>
    <comment ref="L16" authorId="0" shapeId="0" xr:uid="{00000000-0006-0000-0600-000002000000}">
      <text>
        <r>
          <rPr>
            <sz val="11"/>
            <color indexed="8"/>
            <rFont val="Helvetica Neue"/>
          </rPr>
          <t>CiT Systems:
Weight of sweep oar.</t>
        </r>
      </text>
    </comment>
    <comment ref="T16" authorId="0" shapeId="0" xr:uid="{00000000-0006-0000-0600-000003000000}">
      <text>
        <r>
          <rPr>
            <sz val="11"/>
            <color indexed="8"/>
            <rFont val="Helvetica Neue"/>
          </rPr>
          <t>CiT Systems:
Sweep's weight + 7 kgs for sweep oar etc.</t>
        </r>
      </text>
    </comment>
    <comment ref="S17" authorId="0" shapeId="0" xr:uid="{00000000-0006-0000-0600-000004000000}">
      <text>
        <r>
          <rPr>
            <sz val="11"/>
            <color indexed="8"/>
            <rFont val="Helvetica Neue"/>
          </rPr>
          <t>CiT Systems:
11kg means unbalanced such that 11kg right heavy in seat 5. +ve for right heavy, -ve for left heavy.</t>
        </r>
      </text>
    </comment>
    <comment ref="W17" authorId="0" shapeId="0" xr:uid="{00000000-0006-0000-0600-000005000000}">
      <text>
        <r>
          <rPr>
            <sz val="11"/>
            <color indexed="8"/>
            <rFont val="Helvetica Neue"/>
          </rPr>
          <t>CiT Systems:
83 kgs means it is unbalanced such that 83kgs placed at the front of the boat. +ve for front heavy, -ve for back heavy.</t>
        </r>
      </text>
    </comment>
    <comment ref="T26" authorId="0" shapeId="0" xr:uid="{00000000-0006-0000-0600-000006000000}">
      <text>
        <r>
          <rPr>
            <sz val="11"/>
            <color indexed="8"/>
            <rFont val="Helvetica Neue"/>
          </rPr>
          <t>CiT Systems:
Drummer's weight + 14 kgs for drums etc.</t>
        </r>
      </text>
    </comment>
    <comment ref="L37" authorId="0" shapeId="0" xr:uid="{00000000-0006-0000-0600-000007000000}">
      <text>
        <r>
          <rPr>
            <sz val="11"/>
            <color indexed="8"/>
            <rFont val="Helvetica Neue"/>
          </rPr>
          <t>CiT Systems:
Weight of sweep oar.</t>
        </r>
      </text>
    </comment>
    <comment ref="T37" authorId="0" shapeId="0" xr:uid="{00000000-0006-0000-0600-000008000000}">
      <text>
        <r>
          <rPr>
            <sz val="11"/>
            <color indexed="8"/>
            <rFont val="Helvetica Neue"/>
          </rPr>
          <t>CiT Systems:
Sweep's weight + 7 kgs for sweep oar etc.</t>
        </r>
      </text>
    </comment>
    <comment ref="S38" authorId="0" shapeId="0" xr:uid="{00000000-0006-0000-0600-000009000000}">
      <text>
        <r>
          <rPr>
            <sz val="11"/>
            <color indexed="8"/>
            <rFont val="Helvetica Neue"/>
          </rPr>
          <t>CiT Systems:
11kg means unbalanced such that 11kg right heavy in seat 5. +ve for right heavy, -ve for left heavy.</t>
        </r>
      </text>
    </comment>
    <comment ref="W38" authorId="0" shapeId="0" xr:uid="{00000000-0006-0000-0600-00000A000000}">
      <text>
        <r>
          <rPr>
            <sz val="11"/>
            <color indexed="8"/>
            <rFont val="Helvetica Neue"/>
          </rPr>
          <t>CiT Systems:
83 kgs means it is unbalanced such that 83kgs placed at the front of the boat. +ve for front heavy, -ve for back heavy.</t>
        </r>
      </text>
    </comment>
    <comment ref="T47" authorId="0" shapeId="0" xr:uid="{00000000-0006-0000-0600-00000B000000}">
      <text>
        <r>
          <rPr>
            <sz val="11"/>
            <color indexed="8"/>
            <rFont val="Helvetica Neue"/>
          </rPr>
          <t>CiT Systems:
Drummer's weight + 14 kgs for drums etc.</t>
        </r>
      </text>
    </comment>
    <comment ref="L58" authorId="0" shapeId="0" xr:uid="{00000000-0006-0000-0600-00000C000000}">
      <text>
        <r>
          <rPr>
            <sz val="11"/>
            <color indexed="8"/>
            <rFont val="Helvetica Neue"/>
          </rPr>
          <t>CiT Systems:
Weight of sweep oar.</t>
        </r>
      </text>
    </comment>
    <comment ref="T58" authorId="0" shapeId="0" xr:uid="{00000000-0006-0000-0600-00000D000000}">
      <text>
        <r>
          <rPr>
            <sz val="11"/>
            <color indexed="8"/>
            <rFont val="Helvetica Neue"/>
          </rPr>
          <t>CiT Systems:
Sweep's weight + 7 kgs for sweep oar etc.</t>
        </r>
      </text>
    </comment>
    <comment ref="S59" authorId="0" shapeId="0" xr:uid="{00000000-0006-0000-0600-00000E000000}">
      <text>
        <r>
          <rPr>
            <sz val="11"/>
            <color indexed="8"/>
            <rFont val="Helvetica Neue"/>
          </rPr>
          <t>CiT Systems:
11kg means unbalanced such that 11kg right heavy in seat 5. +ve for right heavy, -ve for left heavy.</t>
        </r>
      </text>
    </comment>
    <comment ref="W59" authorId="0" shapeId="0" xr:uid="{00000000-0006-0000-0600-00000F000000}">
      <text>
        <r>
          <rPr>
            <sz val="11"/>
            <color indexed="8"/>
            <rFont val="Helvetica Neue"/>
          </rPr>
          <t>CiT Systems:
83 kgs means it is unbalanced such that 83kgs placed at the front of the boat. +ve for front heavy, -ve for back heavy.</t>
        </r>
      </text>
    </comment>
  </commentList>
</comments>
</file>

<file path=xl/sharedStrings.xml><?xml version="1.0" encoding="utf-8"?>
<sst xmlns="http://schemas.openxmlformats.org/spreadsheetml/2006/main" count="685" uniqueCount="150">
  <si>
    <t>Name</t>
  </si>
  <si>
    <t>Prem Mix</t>
  </si>
  <si>
    <t>Heat 1</t>
  </si>
  <si>
    <t>Kg's</t>
  </si>
  <si>
    <t>Left</t>
  </si>
  <si>
    <t>Right</t>
  </si>
  <si>
    <t>Reserves:</t>
  </si>
  <si>
    <t>Res.</t>
  </si>
  <si>
    <t>left-right</t>
  </si>
  <si>
    <t>back-front</t>
  </si>
  <si>
    <t>Total Paddlers Weight</t>
  </si>
  <si>
    <t>balance</t>
  </si>
  <si>
    <t>Average Paddler Weight</t>
  </si>
  <si>
    <t>Total Load</t>
  </si>
  <si>
    <t>Total Load per Paddler</t>
  </si>
  <si>
    <t>Heat 2</t>
  </si>
  <si>
    <t>Final</t>
  </si>
  <si>
    <t>Prem Open</t>
  </si>
  <si>
    <t>Sweep</t>
  </si>
  <si>
    <t>Weight</t>
  </si>
  <si>
    <t>S-J</t>
  </si>
  <si>
    <t>Master Mix</t>
  </si>
  <si>
    <t>Prem Women</t>
  </si>
  <si>
    <t>First name</t>
  </si>
  <si>
    <t>Last name</t>
  </si>
  <si>
    <t>Gender</t>
  </si>
  <si>
    <t>M</t>
  </si>
  <si>
    <t>F</t>
  </si>
  <si>
    <t>Category</t>
  </si>
  <si>
    <t>Nickname</t>
  </si>
  <si>
    <t>Racing</t>
  </si>
  <si>
    <t>Ruth T</t>
  </si>
  <si>
    <t>Sue T</t>
  </si>
  <si>
    <t>Simon F</t>
  </si>
  <si>
    <t>Deb H</t>
  </si>
  <si>
    <t>Matthew R</t>
  </si>
  <si>
    <t>Wendy I</t>
  </si>
  <si>
    <t>Amanda F</t>
  </si>
  <si>
    <t>Anne C</t>
  </si>
  <si>
    <t>Jocelyn K</t>
  </si>
  <si>
    <t>Amanda D</t>
  </si>
  <si>
    <t>Helen F</t>
  </si>
  <si>
    <t>George A</t>
  </si>
  <si>
    <t>Petr V</t>
  </si>
  <si>
    <t>Nicole P</t>
  </si>
  <si>
    <t>Leah H</t>
  </si>
  <si>
    <t>Lianna C</t>
  </si>
  <si>
    <t>Kiran R</t>
  </si>
  <si>
    <t>Paul J</t>
  </si>
  <si>
    <t>John T</t>
  </si>
  <si>
    <t>Detlef H</t>
  </si>
  <si>
    <t>Aydin K</t>
  </si>
  <si>
    <t>Rachael H</t>
  </si>
  <si>
    <t>n</t>
  </si>
  <si>
    <t>y</t>
  </si>
  <si>
    <t>Full name</t>
  </si>
  <si>
    <t>Tolhurst, Sue</t>
  </si>
  <si>
    <t>Hirst, Deb</t>
  </si>
  <si>
    <t>Rennie, Sarah-Jane</t>
  </si>
  <si>
    <t>Irik, Wendy</t>
  </si>
  <si>
    <t>Finneran, Amanda</t>
  </si>
  <si>
    <t>Kemp, Jocelyn</t>
  </si>
  <si>
    <t>Davies, Amanda</t>
  </si>
  <si>
    <t>Ford, Helen</t>
  </si>
  <si>
    <t>Phillips, Nicole</t>
  </si>
  <si>
    <t>Hasapis, Leah</t>
  </si>
  <si>
    <t>Constantinou, Lianna</t>
  </si>
  <si>
    <t>Holt, Rachael</t>
  </si>
  <si>
    <t>Freke, Simon</t>
  </si>
  <si>
    <t>Abuzo, George</t>
  </si>
  <si>
    <t>Valouch, Petr</t>
  </si>
  <si>
    <t>Ramrakha, Kiran</t>
  </si>
  <si>
    <t>Jeffree, Paul</t>
  </si>
  <si>
    <t>Taylor, John</t>
  </si>
  <si>
    <t>Haupt, Detlef</t>
  </si>
  <si>
    <t>Kizilirmak, Aydin</t>
  </si>
  <si>
    <t>Turnell, Ruth</t>
  </si>
  <si>
    <t>Claro, Anne</t>
  </si>
  <si>
    <t>Roberts, Matthew</t>
  </si>
  <si>
    <t>No</t>
  </si>
  <si>
    <t>Total women athletes</t>
  </si>
  <si>
    <t>Total men athletes</t>
  </si>
  <si>
    <t>Drummers or sweeps</t>
  </si>
  <si>
    <t>Enter names into the blue zones only - match the names from the "Name" column</t>
  </si>
  <si>
    <t>Aim for weight under 5 kg</t>
  </si>
  <si>
    <t>Aim for range of - 15 kg to -25 kg</t>
  </si>
  <si>
    <t>Drum</t>
  </si>
  <si>
    <t>CrewList</t>
  </si>
  <si>
    <t>Total allocated races</t>
  </si>
  <si>
    <t>Total crew athletes</t>
  </si>
  <si>
    <t>Only enter your required allocations here</t>
  </si>
  <si>
    <t>Cerneaz, Peter</t>
  </si>
  <si>
    <t>Peter C</t>
  </si>
  <si>
    <t>Drop your list of names here -&gt; in format -&gt; Valouch, Petr</t>
  </si>
  <si>
    <t>password: tsunami</t>
  </si>
  <si>
    <t>Cheok, Alice</t>
  </si>
  <si>
    <t>Moro, Andrea</t>
  </si>
  <si>
    <t>Wong, Sean</t>
  </si>
  <si>
    <t>Sean W</t>
  </si>
  <si>
    <t>Andrea M</t>
  </si>
  <si>
    <t>Rod S</t>
  </si>
  <si>
    <t>Alice C</t>
  </si>
  <si>
    <t>Escalona, Diego</t>
  </si>
  <si>
    <t>Diego E</t>
  </si>
  <si>
    <t>Campbell, Mary-Alice</t>
  </si>
  <si>
    <t>Mary-Alice</t>
  </si>
  <si>
    <t>Murphy, Alison</t>
  </si>
  <si>
    <t>Alison M</t>
  </si>
  <si>
    <t>Dizon, Joe</t>
  </si>
  <si>
    <t>Joe D</t>
  </si>
  <si>
    <t>Harris, Andrew</t>
  </si>
  <si>
    <t>Andrew H</t>
  </si>
  <si>
    <t>Hanssens, Rebekah</t>
  </si>
  <si>
    <t>Rebekah</t>
  </si>
  <si>
    <t>Boerma, Andrew</t>
  </si>
  <si>
    <t>Andrew B</t>
  </si>
  <si>
    <t>Murphy, Maria</t>
  </si>
  <si>
    <t>Maria M</t>
  </si>
  <si>
    <t>Hallett, Victoria</t>
  </si>
  <si>
    <t>Victoria H</t>
  </si>
  <si>
    <t>Hu, Yanhua</t>
  </si>
  <si>
    <t>Skinner, Rodney</t>
  </si>
  <si>
    <t>Amy</t>
  </si>
  <si>
    <t>Agudelo, Bibiana</t>
  </si>
  <si>
    <t>Bibiana A</t>
  </si>
  <si>
    <t>Angus, Janet</t>
  </si>
  <si>
    <t>Janet A</t>
  </si>
  <si>
    <t>Bauzon, Ma Divina Angela</t>
  </si>
  <si>
    <t>Divina</t>
  </si>
  <si>
    <t>Chiu, Miu</t>
  </si>
  <si>
    <t>Miu</t>
  </si>
  <si>
    <t>Dobner, Anne-Marie</t>
  </si>
  <si>
    <t>Anne-Marie</t>
  </si>
  <si>
    <t>McKenna, Elizabeth</t>
  </si>
  <si>
    <t>Liz Mc</t>
  </si>
  <si>
    <t>Rai, Rohini</t>
  </si>
  <si>
    <t>Rohini</t>
  </si>
  <si>
    <t>Steel, Alice</t>
  </si>
  <si>
    <t>Alice S</t>
  </si>
  <si>
    <t>Hemming, Michael</t>
  </si>
  <si>
    <t>Michael H</t>
  </si>
  <si>
    <t>Van Laeren, Richard</t>
  </si>
  <si>
    <t>Van Laeren</t>
  </si>
  <si>
    <t>Richard</t>
  </si>
  <si>
    <t>Richard V</t>
  </si>
  <si>
    <t>Santos, Marc Ericson</t>
  </si>
  <si>
    <t>Marc</t>
  </si>
  <si>
    <t>Lizarazo, Jaid</t>
  </si>
  <si>
    <t>Jaid</t>
  </si>
  <si>
    <t>Santos, marc Ericson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</si>
</sst>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2">
    <font>
      <sz val="11"/>
      <color indexed="8"/>
      <name val="Calibri"/>
    </font>
    <font>
      <sz val="11"/>
      <color theme="1"/>
      <name val="Helvetica Neue"/>
      <family val="2"/>
      <scheme val="minor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1"/>
      <color indexed="8"/>
      <name val="Helvetica Neue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b/>
      <sz val="12"/>
      <color rgb="FF7030A0"/>
      <name val="Calibri"/>
      <family val="2"/>
    </font>
    <font>
      <b/>
      <sz val="11"/>
      <color indexed="8"/>
      <name val="Calibri"/>
      <family val="2"/>
    </font>
    <font>
      <sz val="11"/>
      <color theme="9" tint="-0.499984740745262"/>
      <name val="Calibri"/>
      <family val="2"/>
    </font>
    <font>
      <sz val="12"/>
      <color indexed="8"/>
      <name val="Calibri"/>
      <family val="2"/>
    </font>
    <font>
      <i/>
      <sz val="11"/>
      <color rgb="FFFF0000"/>
      <name val="Calibri"/>
      <family val="2"/>
    </font>
    <font>
      <b/>
      <sz val="11"/>
      <color rgb="FF7030A0"/>
      <name val="Calibri"/>
      <family val="2"/>
    </font>
    <font>
      <b/>
      <sz val="14"/>
      <color indexed="8"/>
      <name val="Calibri"/>
      <family val="2"/>
    </font>
    <font>
      <b/>
      <sz val="12"/>
      <color indexed="8"/>
      <name val="Verdana"/>
      <family val="2"/>
    </font>
    <font>
      <sz val="12"/>
      <color rgb="FF7030A0"/>
      <name val="Verdana"/>
      <family val="2"/>
    </font>
    <font>
      <sz val="11"/>
      <color indexed="8"/>
      <name val="Verdana"/>
      <family val="2"/>
    </font>
    <font>
      <sz val="11"/>
      <color rgb="FF7030A0"/>
      <name val="Verdana"/>
      <family val="2"/>
    </font>
    <font>
      <sz val="12"/>
      <color indexed="8"/>
      <name val="Verdana"/>
      <family val="2"/>
    </font>
    <font>
      <i/>
      <sz val="14"/>
      <color rgb="FFFF0000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  <font>
      <i/>
      <sz val="12"/>
      <color rgb="FFFF0000"/>
      <name val="Calibri"/>
      <family val="2"/>
    </font>
    <font>
      <i/>
      <sz val="11"/>
      <color rgb="FF7030A0"/>
      <name val="Calibri"/>
      <family val="2"/>
    </font>
    <font>
      <sz val="18"/>
      <color theme="3"/>
      <name val="Helvetica Neue"/>
      <family val="2"/>
      <scheme val="major"/>
    </font>
    <font>
      <b/>
      <sz val="15"/>
      <color theme="3"/>
      <name val="Helvetica Neue"/>
      <family val="2"/>
      <scheme val="minor"/>
    </font>
    <font>
      <b/>
      <sz val="13"/>
      <color theme="3"/>
      <name val="Helvetica Neue"/>
      <family val="2"/>
      <scheme val="minor"/>
    </font>
    <font>
      <b/>
      <sz val="11"/>
      <color theme="3"/>
      <name val="Helvetica Neue"/>
      <family val="2"/>
      <scheme val="minor"/>
    </font>
    <font>
      <sz val="11"/>
      <color rgb="FF006100"/>
      <name val="Helvetica Neue"/>
      <family val="2"/>
      <scheme val="minor"/>
    </font>
    <font>
      <sz val="11"/>
      <color rgb="FF9C0006"/>
      <name val="Helvetica Neue"/>
      <family val="2"/>
      <scheme val="minor"/>
    </font>
    <font>
      <sz val="11"/>
      <color rgb="FF9C5700"/>
      <name val="Helvetica Neue"/>
      <family val="2"/>
      <scheme val="minor"/>
    </font>
    <font>
      <sz val="11"/>
      <color rgb="FF3F3F76"/>
      <name val="Helvetica Neue"/>
      <family val="2"/>
      <scheme val="minor"/>
    </font>
    <font>
      <b/>
      <sz val="11"/>
      <color rgb="FF3F3F3F"/>
      <name val="Helvetica Neue"/>
      <family val="2"/>
      <scheme val="minor"/>
    </font>
    <font>
      <b/>
      <sz val="11"/>
      <color rgb="FFFA7D00"/>
      <name val="Helvetica Neue"/>
      <family val="2"/>
      <scheme val="minor"/>
    </font>
    <font>
      <sz val="11"/>
      <color rgb="FFFA7D00"/>
      <name val="Helvetica Neue"/>
      <family val="2"/>
      <scheme val="minor"/>
    </font>
    <font>
      <b/>
      <sz val="11"/>
      <color theme="0"/>
      <name val="Helvetica Neue"/>
      <family val="2"/>
      <scheme val="minor"/>
    </font>
    <font>
      <sz val="11"/>
      <color rgb="FFFF0000"/>
      <name val="Helvetica Neue"/>
      <family val="2"/>
      <scheme val="minor"/>
    </font>
    <font>
      <i/>
      <sz val="11"/>
      <color rgb="FF7F7F7F"/>
      <name val="Helvetica Neue"/>
      <family val="2"/>
      <scheme val="minor"/>
    </font>
    <font>
      <b/>
      <sz val="11"/>
      <color theme="1"/>
      <name val="Helvetica Neue"/>
      <family val="2"/>
      <scheme val="minor"/>
    </font>
    <font>
      <sz val="11"/>
      <color theme="0"/>
      <name val="Helvetica Neue"/>
      <family val="2"/>
      <scheme val="minor"/>
    </font>
    <font>
      <sz val="11"/>
      <color rgb="FF00000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4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indexed="64"/>
      </right>
      <top style="dashed">
        <color auto="1"/>
      </top>
      <bottom style="dashed">
        <color auto="1"/>
      </bottom>
      <diagonal/>
    </border>
    <border>
      <left style="medium">
        <color indexed="64"/>
      </left>
      <right/>
      <top style="dashed">
        <color auto="1"/>
      </top>
      <bottom/>
      <diagonal/>
    </border>
    <border>
      <left style="medium">
        <color indexed="64"/>
      </left>
      <right/>
      <top/>
      <bottom style="dashed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 applyNumberFormat="0" applyFill="0" applyBorder="0" applyProtection="0"/>
    <xf numFmtId="0" fontId="26" fillId="0" borderId="36" applyNumberFormat="0" applyFill="0" applyAlignment="0" applyProtection="0"/>
    <xf numFmtId="0" fontId="27" fillId="0" borderId="37" applyNumberFormat="0" applyFill="0" applyAlignment="0" applyProtection="0"/>
    <xf numFmtId="0" fontId="28" fillId="0" borderId="38" applyNumberFormat="0" applyFill="0" applyAlignment="0" applyProtection="0"/>
    <xf numFmtId="0" fontId="32" fillId="11" borderId="39" applyNumberFormat="0" applyAlignment="0" applyProtection="0"/>
    <xf numFmtId="0" fontId="33" fillId="12" borderId="40" applyNumberFormat="0" applyAlignment="0" applyProtection="0"/>
    <xf numFmtId="0" fontId="34" fillId="12" borderId="39" applyNumberFormat="0" applyAlignment="0" applyProtection="0"/>
    <xf numFmtId="0" fontId="35" fillId="0" borderId="41" applyNumberFormat="0" applyFill="0" applyAlignment="0" applyProtection="0"/>
    <xf numFmtId="0" fontId="36" fillId="13" borderId="42" applyNumberFormat="0" applyAlignment="0" applyProtection="0"/>
    <xf numFmtId="0" fontId="39" fillId="0" borderId="44" applyNumberFormat="0" applyFill="0" applyAlignment="0" applyProtection="0"/>
    <xf numFmtId="0" fontId="1" fillId="0" borderId="1"/>
    <xf numFmtId="0" fontId="25" fillId="0" borderId="1" applyNumberFormat="0" applyFill="0" applyBorder="0" applyAlignment="0" applyProtection="0"/>
    <xf numFmtId="0" fontId="28" fillId="0" borderId="1" applyNumberFormat="0" applyFill="0" applyBorder="0" applyAlignment="0" applyProtection="0"/>
    <xf numFmtId="0" fontId="29" fillId="8" borderId="1" applyNumberFormat="0" applyBorder="0" applyAlignment="0" applyProtection="0"/>
    <xf numFmtId="0" fontId="30" fillId="9" borderId="1" applyNumberFormat="0" applyBorder="0" applyAlignment="0" applyProtection="0"/>
    <xf numFmtId="0" fontId="31" fillId="10" borderId="1" applyNumberFormat="0" applyBorder="0" applyAlignment="0" applyProtection="0"/>
    <xf numFmtId="0" fontId="37" fillId="0" borderId="1" applyNumberFormat="0" applyFill="0" applyBorder="0" applyAlignment="0" applyProtection="0"/>
    <xf numFmtId="0" fontId="1" fillId="14" borderId="43" applyNumberFormat="0" applyFont="0" applyAlignment="0" applyProtection="0"/>
    <xf numFmtId="0" fontId="38" fillId="0" borderId="1" applyNumberFormat="0" applyFill="0" applyBorder="0" applyAlignment="0" applyProtection="0"/>
    <xf numFmtId="0" fontId="40" fillId="15" borderId="1" applyNumberFormat="0" applyBorder="0" applyAlignment="0" applyProtection="0"/>
    <xf numFmtId="0" fontId="1" fillId="16" borderId="1" applyNumberFormat="0" applyBorder="0" applyAlignment="0" applyProtection="0"/>
    <xf numFmtId="0" fontId="1" fillId="17" borderId="1" applyNumberFormat="0" applyBorder="0" applyAlignment="0" applyProtection="0"/>
    <xf numFmtId="0" fontId="1" fillId="18" borderId="1" applyNumberFormat="0" applyBorder="0" applyAlignment="0" applyProtection="0"/>
    <xf numFmtId="0" fontId="40" fillId="19" borderId="1" applyNumberFormat="0" applyBorder="0" applyAlignment="0" applyProtection="0"/>
    <xf numFmtId="0" fontId="1" fillId="20" borderId="1" applyNumberFormat="0" applyBorder="0" applyAlignment="0" applyProtection="0"/>
    <xf numFmtId="0" fontId="1" fillId="21" borderId="1" applyNumberFormat="0" applyBorder="0" applyAlignment="0" applyProtection="0"/>
    <xf numFmtId="0" fontId="1" fillId="22" borderId="1" applyNumberFormat="0" applyBorder="0" applyAlignment="0" applyProtection="0"/>
    <xf numFmtId="0" fontId="40" fillId="23" borderId="1" applyNumberFormat="0" applyBorder="0" applyAlignment="0" applyProtection="0"/>
    <xf numFmtId="0" fontId="1" fillId="24" borderId="1" applyNumberFormat="0" applyBorder="0" applyAlignment="0" applyProtection="0"/>
    <xf numFmtId="0" fontId="1" fillId="25" borderId="1" applyNumberFormat="0" applyBorder="0" applyAlignment="0" applyProtection="0"/>
    <xf numFmtId="0" fontId="1" fillId="26" borderId="1" applyNumberFormat="0" applyBorder="0" applyAlignment="0" applyProtection="0"/>
    <xf numFmtId="0" fontId="40" fillId="27" borderId="1" applyNumberFormat="0" applyBorder="0" applyAlignment="0" applyProtection="0"/>
    <xf numFmtId="0" fontId="1" fillId="28" borderId="1" applyNumberFormat="0" applyBorder="0" applyAlignment="0" applyProtection="0"/>
    <xf numFmtId="0" fontId="1" fillId="29" borderId="1" applyNumberFormat="0" applyBorder="0" applyAlignment="0" applyProtection="0"/>
    <xf numFmtId="0" fontId="1" fillId="30" borderId="1" applyNumberFormat="0" applyBorder="0" applyAlignment="0" applyProtection="0"/>
    <xf numFmtId="0" fontId="40" fillId="31" borderId="1" applyNumberFormat="0" applyBorder="0" applyAlignment="0" applyProtection="0"/>
    <xf numFmtId="0" fontId="1" fillId="32" borderId="1" applyNumberFormat="0" applyBorder="0" applyAlignment="0" applyProtection="0"/>
    <xf numFmtId="0" fontId="1" fillId="33" borderId="1" applyNumberFormat="0" applyBorder="0" applyAlignment="0" applyProtection="0"/>
    <xf numFmtId="0" fontId="1" fillId="34" borderId="1" applyNumberFormat="0" applyBorder="0" applyAlignment="0" applyProtection="0"/>
    <xf numFmtId="0" fontId="40" fillId="35" borderId="1" applyNumberFormat="0" applyBorder="0" applyAlignment="0" applyProtection="0"/>
    <xf numFmtId="0" fontId="1" fillId="36" borderId="1" applyNumberFormat="0" applyBorder="0" applyAlignment="0" applyProtection="0"/>
    <xf numFmtId="0" fontId="1" fillId="37" borderId="1" applyNumberFormat="0" applyBorder="0" applyAlignment="0" applyProtection="0"/>
    <xf numFmtId="0" fontId="1" fillId="38" borderId="1" applyNumberFormat="0" applyBorder="0" applyAlignment="0" applyProtection="0"/>
  </cellStyleXfs>
  <cellXfs count="157">
    <xf numFmtId="0" fontId="0" fillId="0" borderId="0" xfId="0" applyFont="1" applyAlignment="1"/>
    <xf numFmtId="0" fontId="0" fillId="0" borderId="0" xfId="0" applyNumberFormat="1" applyFont="1" applyAlignment="1"/>
    <xf numFmtId="0" fontId="0" fillId="0" borderId="0" xfId="0" applyNumberFormat="1" applyFont="1" applyAlignment="1"/>
    <xf numFmtId="0" fontId="6" fillId="0" borderId="0" xfId="0" applyFont="1" applyAlignment="1"/>
    <xf numFmtId="0" fontId="0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2" xfId="0" applyFont="1" applyBorder="1" applyAlignment="1"/>
    <xf numFmtId="0" fontId="0" fillId="2" borderId="1" xfId="0" applyFont="1" applyFill="1" applyBorder="1" applyAlignment="1"/>
    <xf numFmtId="49" fontId="0" fillId="2" borderId="3" xfId="0" applyNumberFormat="1" applyFont="1" applyFill="1" applyBorder="1" applyAlignment="1"/>
    <xf numFmtId="0" fontId="0" fillId="0" borderId="3" xfId="0" applyFont="1" applyBorder="1" applyAlignment="1"/>
    <xf numFmtId="0" fontId="0" fillId="0" borderId="2" xfId="0" applyFont="1" applyFill="1" applyBorder="1" applyAlignment="1"/>
    <xf numFmtId="0" fontId="9" fillId="0" borderId="0" xfId="0" applyFont="1" applyAlignment="1">
      <alignment horizontal="center"/>
    </xf>
    <xf numFmtId="0" fontId="0" fillId="2" borderId="3" xfId="0" applyNumberFormat="1" applyFont="1" applyFill="1" applyBorder="1" applyAlignment="1">
      <alignment horizontal="center"/>
    </xf>
    <xf numFmtId="0" fontId="11" fillId="0" borderId="0" xfId="0" applyFont="1"/>
    <xf numFmtId="0" fontId="11" fillId="0" borderId="0" xfId="0" applyFont="1" applyAlignment="1"/>
    <xf numFmtId="0" fontId="11" fillId="0" borderId="0" xfId="0" applyFont="1" applyAlignment="1">
      <alignment horizontal="center"/>
    </xf>
    <xf numFmtId="0" fontId="0" fillId="4" borderId="4" xfId="0" applyFont="1" applyFill="1" applyBorder="1" applyAlignment="1">
      <alignment horizontal="center"/>
    </xf>
    <xf numFmtId="0" fontId="0" fillId="4" borderId="4" xfId="0" applyFont="1" applyFill="1" applyBorder="1" applyAlignment="1">
      <alignment horizontal="left"/>
    </xf>
    <xf numFmtId="0" fontId="0" fillId="5" borderId="4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right"/>
    </xf>
    <xf numFmtId="0" fontId="10" fillId="3" borderId="1" xfId="0" applyFont="1" applyFill="1" applyBorder="1" applyAlignment="1">
      <alignment horizontal="center"/>
    </xf>
    <xf numFmtId="0" fontId="0" fillId="3" borderId="7" xfId="0" applyFont="1" applyFill="1" applyBorder="1" applyAlignment="1"/>
    <xf numFmtId="0" fontId="12" fillId="3" borderId="8" xfId="0" applyFont="1" applyFill="1" applyBorder="1" applyAlignment="1"/>
    <xf numFmtId="0" fontId="0" fillId="3" borderId="8" xfId="0" applyFont="1" applyFill="1" applyBorder="1" applyAlignment="1"/>
    <xf numFmtId="0" fontId="9" fillId="3" borderId="10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3" borderId="11" xfId="0" applyFont="1" applyFill="1" applyBorder="1" applyAlignment="1">
      <alignment horizontal="center"/>
    </xf>
    <xf numFmtId="0" fontId="0" fillId="4" borderId="12" xfId="0" applyFont="1" applyFill="1" applyBorder="1" applyAlignment="1">
      <alignment horizontal="center"/>
    </xf>
    <xf numFmtId="0" fontId="10" fillId="3" borderId="11" xfId="0" applyFont="1" applyFill="1" applyBorder="1" applyAlignment="1">
      <alignment horizontal="center"/>
    </xf>
    <xf numFmtId="49" fontId="9" fillId="2" borderId="2" xfId="0" applyNumberFormat="1" applyFont="1" applyFill="1" applyBorder="1" applyAlignment="1"/>
    <xf numFmtId="0" fontId="9" fillId="0" borderId="2" xfId="0" applyFont="1" applyBorder="1" applyAlignment="1"/>
    <xf numFmtId="0" fontId="0" fillId="2" borderId="19" xfId="0" applyFont="1" applyFill="1" applyBorder="1" applyAlignment="1"/>
    <xf numFmtId="0" fontId="0" fillId="2" borderId="21" xfId="0" applyFont="1" applyFill="1" applyBorder="1" applyAlignment="1"/>
    <xf numFmtId="0" fontId="0" fillId="2" borderId="24" xfId="0" applyFont="1" applyFill="1" applyBorder="1" applyAlignment="1"/>
    <xf numFmtId="0" fontId="0" fillId="2" borderId="26" xfId="0" applyFont="1" applyFill="1" applyBorder="1" applyAlignment="1"/>
    <xf numFmtId="0" fontId="0" fillId="3" borderId="2" xfId="0" applyNumberFormat="1" applyFont="1" applyFill="1" applyBorder="1" applyAlignment="1">
      <alignment horizontal="center"/>
    </xf>
    <xf numFmtId="0" fontId="0" fillId="3" borderId="22" xfId="0" applyNumberFormat="1" applyFont="1" applyFill="1" applyBorder="1" applyAlignment="1">
      <alignment horizontal="center"/>
    </xf>
    <xf numFmtId="0" fontId="0" fillId="3" borderId="23" xfId="0" applyNumberFormat="1" applyFont="1" applyFill="1" applyBorder="1" applyAlignment="1">
      <alignment horizontal="center"/>
    </xf>
    <xf numFmtId="0" fontId="0" fillId="3" borderId="20" xfId="0" applyNumberFormat="1" applyFont="1" applyFill="1" applyBorder="1" applyAlignment="1">
      <alignment horizontal="center"/>
    </xf>
    <xf numFmtId="0" fontId="0" fillId="3" borderId="25" xfId="0" applyNumberFormat="1" applyFont="1" applyFill="1" applyBorder="1" applyAlignment="1">
      <alignment horizontal="center"/>
    </xf>
    <xf numFmtId="0" fontId="0" fillId="6" borderId="0" xfId="0" applyNumberFormat="1" applyFont="1" applyFill="1" applyAlignment="1"/>
    <xf numFmtId="0" fontId="7" fillId="0" borderId="0" xfId="0" applyNumberFormat="1" applyFont="1" applyAlignment="1"/>
    <xf numFmtId="0" fontId="14" fillId="0" borderId="0" xfId="0" applyNumberFormat="1" applyFont="1" applyAlignment="1"/>
    <xf numFmtId="0" fontId="0" fillId="0" borderId="0" xfId="0" applyNumberFormat="1" applyFont="1" applyFill="1" applyAlignment="1"/>
    <xf numFmtId="0" fontId="0" fillId="0" borderId="1" xfId="0" applyNumberFormat="1" applyFont="1" applyFill="1" applyBorder="1" applyAlignment="1">
      <alignment horizontal="center"/>
    </xf>
    <xf numFmtId="0" fontId="0" fillId="0" borderId="1" xfId="0" applyNumberFormat="1" applyFont="1" applyFill="1" applyBorder="1" applyAlignment="1"/>
    <xf numFmtId="49" fontId="3" fillId="0" borderId="1" xfId="0" applyNumberFormat="1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 applyAlignment="1"/>
    <xf numFmtId="0" fontId="5" fillId="0" borderId="1" xfId="0" applyFont="1" applyFill="1" applyBorder="1" applyAlignment="1"/>
    <xf numFmtId="0" fontId="3" fillId="0" borderId="1" xfId="0" applyFont="1" applyFill="1" applyBorder="1" applyAlignment="1"/>
    <xf numFmtId="49" fontId="0" fillId="0" borderId="1" xfId="0" applyNumberFormat="1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0" borderId="2" xfId="0" applyNumberFormat="1" applyFont="1" applyFill="1" applyBorder="1" applyAlignment="1">
      <alignment horizontal="center"/>
    </xf>
    <xf numFmtId="164" fontId="0" fillId="0" borderId="2" xfId="0" applyNumberFormat="1" applyFont="1" applyFill="1" applyBorder="1" applyAlignment="1">
      <alignment horizontal="center"/>
    </xf>
    <xf numFmtId="0" fontId="5" fillId="0" borderId="2" xfId="0" applyNumberFormat="1" applyFont="1" applyFill="1" applyBorder="1" applyAlignment="1">
      <alignment horizontal="center"/>
    </xf>
    <xf numFmtId="49" fontId="5" fillId="0" borderId="2" xfId="0" applyNumberFormat="1" applyFont="1" applyFill="1" applyBorder="1" applyAlignment="1">
      <alignment horizontal="center"/>
    </xf>
    <xf numFmtId="1" fontId="0" fillId="0" borderId="2" xfId="0" applyNumberFormat="1" applyFont="1" applyFill="1" applyBorder="1" applyAlignment="1">
      <alignment horizontal="center"/>
    </xf>
    <xf numFmtId="0" fontId="0" fillId="0" borderId="19" xfId="0" applyNumberFormat="1" applyFont="1" applyFill="1" applyBorder="1" applyAlignment="1"/>
    <xf numFmtId="49" fontId="3" fillId="0" borderId="20" xfId="0" applyNumberFormat="1" applyFont="1" applyFill="1" applyBorder="1" applyAlignment="1">
      <alignment horizontal="center"/>
    </xf>
    <xf numFmtId="49" fontId="2" fillId="0" borderId="20" xfId="0" applyNumberFormat="1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0" fontId="0" fillId="0" borderId="20" xfId="0" applyNumberFormat="1" applyFont="1" applyFill="1" applyBorder="1" applyAlignment="1">
      <alignment horizontal="center"/>
    </xf>
    <xf numFmtId="164" fontId="0" fillId="0" borderId="20" xfId="0" applyNumberFormat="1" applyFont="1" applyFill="1" applyBorder="1" applyAlignment="1">
      <alignment horizontal="center"/>
    </xf>
    <xf numFmtId="164" fontId="0" fillId="0" borderId="21" xfId="0" applyNumberFormat="1" applyFont="1" applyFill="1" applyBorder="1" applyAlignment="1">
      <alignment horizontal="center"/>
    </xf>
    <xf numFmtId="0" fontId="0" fillId="0" borderId="22" xfId="0" applyNumberFormat="1" applyFont="1" applyFill="1" applyBorder="1" applyAlignment="1"/>
    <xf numFmtId="164" fontId="0" fillId="0" borderId="23" xfId="0" applyNumberFormat="1" applyFont="1" applyFill="1" applyBorder="1" applyAlignment="1">
      <alignment horizontal="center"/>
    </xf>
    <xf numFmtId="0" fontId="0" fillId="0" borderId="24" xfId="0" applyNumberFormat="1" applyFont="1" applyFill="1" applyBorder="1" applyAlignment="1"/>
    <xf numFmtId="0" fontId="0" fillId="0" borderId="25" xfId="0" applyNumberFormat="1" applyFont="1" applyFill="1" applyBorder="1" applyAlignment="1">
      <alignment horizontal="center"/>
    </xf>
    <xf numFmtId="0" fontId="0" fillId="0" borderId="25" xfId="0" applyFont="1" applyFill="1" applyBorder="1" applyAlignment="1"/>
    <xf numFmtId="0" fontId="0" fillId="0" borderId="25" xfId="0" applyFont="1" applyFill="1" applyBorder="1" applyAlignment="1">
      <alignment horizontal="center"/>
    </xf>
    <xf numFmtId="164" fontId="0" fillId="0" borderId="25" xfId="0" applyNumberFormat="1" applyFont="1" applyFill="1" applyBorder="1" applyAlignment="1">
      <alignment horizontal="center"/>
    </xf>
    <xf numFmtId="49" fontId="0" fillId="0" borderId="2" xfId="0" applyNumberFormat="1" applyFont="1" applyFill="1" applyBorder="1" applyAlignment="1"/>
    <xf numFmtId="0" fontId="3" fillId="0" borderId="2" xfId="0" applyNumberFormat="1" applyFont="1" applyFill="1" applyBorder="1" applyAlignment="1">
      <alignment horizontal="center"/>
    </xf>
    <xf numFmtId="1" fontId="3" fillId="0" borderId="2" xfId="0" applyNumberFormat="1" applyFont="1" applyFill="1" applyBorder="1" applyAlignment="1">
      <alignment horizontal="center"/>
    </xf>
    <xf numFmtId="165" fontId="11" fillId="3" borderId="25" xfId="0" applyNumberFormat="1" applyFont="1" applyFill="1" applyBorder="1" applyAlignment="1">
      <alignment horizontal="center"/>
    </xf>
    <xf numFmtId="165" fontId="11" fillId="3" borderId="26" xfId="0" applyNumberFormat="1" applyFont="1" applyFill="1" applyBorder="1" applyAlignment="1">
      <alignment horizontal="center"/>
    </xf>
    <xf numFmtId="0" fontId="0" fillId="0" borderId="1" xfId="0" applyNumberFormat="1" applyFont="1" applyBorder="1" applyAlignment="1"/>
    <xf numFmtId="0" fontId="0" fillId="0" borderId="10" xfId="0" applyNumberFormat="1" applyFont="1" applyBorder="1" applyAlignment="1"/>
    <xf numFmtId="0" fontId="18" fillId="0" borderId="31" xfId="0" applyNumberFormat="1" applyFont="1" applyBorder="1" applyAlignment="1">
      <alignment horizontal="center"/>
    </xf>
    <xf numFmtId="0" fontId="17" fillId="0" borderId="10" xfId="0" applyNumberFormat="1" applyFont="1" applyBorder="1" applyAlignment="1"/>
    <xf numFmtId="0" fontId="16" fillId="0" borderId="10" xfId="0" applyNumberFormat="1" applyFont="1" applyBorder="1" applyAlignment="1"/>
    <xf numFmtId="0" fontId="17" fillId="0" borderId="15" xfId="0" applyNumberFormat="1" applyFont="1" applyBorder="1" applyAlignment="1"/>
    <xf numFmtId="0" fontId="17" fillId="0" borderId="31" xfId="0" applyNumberFormat="1" applyFont="1" applyBorder="1" applyAlignment="1"/>
    <xf numFmtId="0" fontId="17" fillId="0" borderId="16" xfId="0" applyNumberFormat="1" applyFont="1" applyBorder="1" applyAlignment="1"/>
    <xf numFmtId="0" fontId="17" fillId="0" borderId="17" xfId="0" applyNumberFormat="1" applyFont="1" applyBorder="1" applyAlignment="1"/>
    <xf numFmtId="0" fontId="17" fillId="0" borderId="18" xfId="0" applyNumberFormat="1" applyFont="1" applyBorder="1" applyAlignment="1"/>
    <xf numFmtId="0" fontId="19" fillId="0" borderId="30" xfId="0" applyNumberFormat="1" applyFont="1" applyBorder="1" applyAlignment="1"/>
    <xf numFmtId="0" fontId="19" fillId="0" borderId="33" xfId="0" applyNumberFormat="1" applyFont="1" applyBorder="1" applyAlignment="1"/>
    <xf numFmtId="0" fontId="19" fillId="0" borderId="1" xfId="0" applyNumberFormat="1" applyFont="1" applyBorder="1" applyAlignment="1"/>
    <xf numFmtId="0" fontId="19" fillId="0" borderId="11" xfId="0" applyNumberFormat="1" applyFont="1" applyBorder="1" applyAlignment="1"/>
    <xf numFmtId="0" fontId="19" fillId="0" borderId="32" xfId="0" applyNumberFormat="1" applyFont="1" applyBorder="1" applyAlignment="1"/>
    <xf numFmtId="0" fontId="0" fillId="5" borderId="1" xfId="0" applyNumberFormat="1" applyFont="1" applyFill="1" applyBorder="1" applyAlignment="1"/>
    <xf numFmtId="0" fontId="0" fillId="0" borderId="1" xfId="0" applyFont="1" applyBorder="1" applyAlignment="1"/>
    <xf numFmtId="0" fontId="14" fillId="3" borderId="34" xfId="0" applyFont="1" applyFill="1" applyBorder="1" applyAlignment="1">
      <alignment horizontal="center"/>
    </xf>
    <xf numFmtId="0" fontId="11" fillId="4" borderId="15" xfId="0" applyFont="1" applyFill="1" applyBorder="1" applyAlignment="1">
      <alignment horizontal="center"/>
    </xf>
    <xf numFmtId="0" fontId="11" fillId="4" borderId="31" xfId="0" applyFont="1" applyFill="1" applyBorder="1" applyAlignment="1">
      <alignment horizontal="center"/>
    </xf>
    <xf numFmtId="0" fontId="11" fillId="4" borderId="16" xfId="0" applyFont="1" applyFill="1" applyBorder="1" applyAlignment="1">
      <alignment horizontal="center"/>
    </xf>
    <xf numFmtId="0" fontId="0" fillId="4" borderId="4" xfId="0" applyFont="1" applyFill="1" applyBorder="1" applyAlignment="1"/>
    <xf numFmtId="0" fontId="21" fillId="3" borderId="1" xfId="0" applyFont="1" applyFill="1" applyBorder="1" applyAlignment="1">
      <alignment horizontal="center"/>
    </xf>
    <xf numFmtId="0" fontId="0" fillId="3" borderId="17" xfId="0" applyFont="1" applyFill="1" applyBorder="1" applyAlignment="1">
      <alignment horizontal="right"/>
    </xf>
    <xf numFmtId="0" fontId="8" fillId="3" borderId="1" xfId="0" applyFont="1" applyFill="1" applyBorder="1" applyAlignment="1">
      <alignment horizontal="center"/>
    </xf>
    <xf numFmtId="0" fontId="8" fillId="3" borderId="11" xfId="0" applyFont="1" applyFill="1" applyBorder="1" applyAlignment="1">
      <alignment horizontal="center"/>
    </xf>
    <xf numFmtId="0" fontId="13" fillId="3" borderId="17" xfId="0" applyFont="1" applyFill="1" applyBorder="1" applyAlignment="1">
      <alignment horizontal="center"/>
    </xf>
    <xf numFmtId="0" fontId="13" fillId="3" borderId="18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2" fillId="0" borderId="1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center"/>
    </xf>
    <xf numFmtId="0" fontId="0" fillId="5" borderId="13" xfId="0" applyFont="1" applyFill="1" applyBorder="1" applyAlignment="1">
      <alignment horizontal="center"/>
    </xf>
    <xf numFmtId="0" fontId="22" fillId="3" borderId="11" xfId="0" applyFont="1" applyFill="1" applyBorder="1" applyAlignment="1">
      <alignment horizontal="center"/>
    </xf>
    <xf numFmtId="0" fontId="0" fillId="0" borderId="0" xfId="0"/>
    <xf numFmtId="49" fontId="7" fillId="2" borderId="1" xfId="0" applyNumberFormat="1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20" fillId="3" borderId="35" xfId="0" applyFont="1" applyFill="1" applyBorder="1" applyAlignment="1"/>
    <xf numFmtId="0" fontId="16" fillId="0" borderId="15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9" fillId="0" borderId="6" xfId="0" applyNumberFormat="1" applyFont="1" applyBorder="1" applyAlignment="1"/>
    <xf numFmtId="0" fontId="19" fillId="0" borderId="5" xfId="0" applyNumberFormat="1" applyFont="1" applyBorder="1" applyAlignment="1"/>
    <xf numFmtId="0" fontId="11" fillId="0" borderId="32" xfId="0" applyFont="1" applyBorder="1" applyAlignment="1" applyProtection="1">
      <protection locked="0"/>
    </xf>
    <xf numFmtId="0" fontId="11" fillId="0" borderId="18" xfId="0" applyFont="1" applyBorder="1" applyAlignment="1" applyProtection="1">
      <protection locked="0"/>
    </xf>
    <xf numFmtId="0" fontId="6" fillId="5" borderId="4" xfId="0" applyFont="1" applyFill="1" applyBorder="1" applyAlignment="1" applyProtection="1">
      <alignment horizontal="center"/>
      <protection locked="0"/>
    </xf>
    <xf numFmtId="0" fontId="0" fillId="5" borderId="4" xfId="0" applyFont="1" applyFill="1" applyBorder="1" applyAlignment="1" applyProtection="1">
      <alignment horizontal="center"/>
      <protection locked="0"/>
    </xf>
    <xf numFmtId="0" fontId="0" fillId="5" borderId="13" xfId="0" applyFont="1" applyFill="1" applyBorder="1" applyAlignment="1" applyProtection="1">
      <alignment horizontal="center"/>
      <protection locked="0"/>
    </xf>
    <xf numFmtId="0" fontId="0" fillId="0" borderId="4" xfId="0" applyFont="1" applyFill="1" applyBorder="1" applyAlignment="1" applyProtection="1">
      <alignment horizontal="center"/>
      <protection locked="0"/>
    </xf>
    <xf numFmtId="0" fontId="6" fillId="5" borderId="13" xfId="0" applyFont="1" applyFill="1" applyBorder="1" applyAlignment="1" applyProtection="1">
      <alignment horizontal="center"/>
      <protection locked="0"/>
    </xf>
    <xf numFmtId="49" fontId="6" fillId="6" borderId="20" xfId="0" applyNumberFormat="1" applyFont="1" applyFill="1" applyBorder="1" applyAlignment="1" applyProtection="1">
      <protection locked="0"/>
    </xf>
    <xf numFmtId="49" fontId="6" fillId="6" borderId="2" xfId="0" applyNumberFormat="1" applyFont="1" applyFill="1" applyBorder="1" applyAlignment="1" applyProtection="1">
      <protection locked="0"/>
    </xf>
    <xf numFmtId="49" fontId="6" fillId="6" borderId="25" xfId="0" applyNumberFormat="1" applyFont="1" applyFill="1" applyBorder="1" applyAlignment="1" applyProtection="1">
      <protection locked="0"/>
    </xf>
    <xf numFmtId="0" fontId="0" fillId="0" borderId="0" xfId="0" applyNumberFormat="1" applyFont="1" applyAlignment="1" applyProtection="1">
      <protection locked="0"/>
    </xf>
    <xf numFmtId="0" fontId="6" fillId="0" borderId="11" xfId="0" applyFont="1" applyBorder="1" applyProtection="1">
      <protection locked="0"/>
    </xf>
    <xf numFmtId="0" fontId="12" fillId="0" borderId="0" xfId="0" applyFont="1" applyAlignment="1"/>
    <xf numFmtId="0" fontId="24" fillId="0" borderId="0" xfId="0" applyFont="1" applyAlignment="1"/>
    <xf numFmtId="0" fontId="11" fillId="3" borderId="0" xfId="0" applyFont="1" applyFill="1" applyAlignment="1">
      <alignment horizontal="center"/>
    </xf>
    <xf numFmtId="0" fontId="41" fillId="0" borderId="0" xfId="0" applyFont="1" applyAlignment="1"/>
    <xf numFmtId="0" fontId="11" fillId="0" borderId="0" xfId="0" applyFont="1" applyFill="1" applyAlignment="1">
      <alignment horizontal="center"/>
    </xf>
    <xf numFmtId="0" fontId="13" fillId="3" borderId="16" xfId="0" applyFont="1" applyFill="1" applyBorder="1" applyAlignment="1">
      <alignment horizontal="right"/>
    </xf>
    <xf numFmtId="0" fontId="13" fillId="3" borderId="17" xfId="0" applyFont="1" applyFill="1" applyBorder="1" applyAlignment="1">
      <alignment horizontal="right"/>
    </xf>
    <xf numFmtId="0" fontId="23" fillId="7" borderId="8" xfId="0" applyFont="1" applyFill="1" applyBorder="1" applyAlignment="1">
      <alignment horizontal="center"/>
    </xf>
    <xf numFmtId="0" fontId="23" fillId="7" borderId="9" xfId="0" applyFont="1" applyFill="1" applyBorder="1" applyAlignment="1">
      <alignment horizontal="center"/>
    </xf>
    <xf numFmtId="0" fontId="6" fillId="3" borderId="14" xfId="0" applyFont="1" applyFill="1" applyBorder="1" applyAlignment="1">
      <alignment horizontal="right"/>
    </xf>
    <xf numFmtId="0" fontId="0" fillId="3" borderId="5" xfId="0" applyFont="1" applyFill="1" applyBorder="1" applyAlignment="1">
      <alignment horizontal="right"/>
    </xf>
    <xf numFmtId="0" fontId="6" fillId="3" borderId="10" xfId="0" applyFont="1" applyFill="1" applyBorder="1" applyAlignment="1">
      <alignment horizontal="right"/>
    </xf>
    <xf numFmtId="0" fontId="0" fillId="3" borderId="1" xfId="0" applyFont="1" applyFill="1" applyBorder="1" applyAlignment="1">
      <alignment horizontal="right"/>
    </xf>
    <xf numFmtId="0" fontId="13" fillId="3" borderId="10" xfId="0" applyFont="1" applyFill="1" applyBorder="1" applyAlignment="1">
      <alignment horizontal="right"/>
    </xf>
    <xf numFmtId="0" fontId="13" fillId="3" borderId="1" xfId="0" applyFont="1" applyFill="1" applyBorder="1" applyAlignment="1">
      <alignment horizontal="right"/>
    </xf>
    <xf numFmtId="49" fontId="3" fillId="0" borderId="27" xfId="0" applyNumberFormat="1" applyFont="1" applyFill="1" applyBorder="1" applyAlignment="1">
      <alignment horizontal="right"/>
    </xf>
    <xf numFmtId="49" fontId="3" fillId="0" borderId="28" xfId="0" applyNumberFormat="1" applyFont="1" applyFill="1" applyBorder="1" applyAlignment="1">
      <alignment horizontal="right"/>
    </xf>
    <xf numFmtId="49" fontId="3" fillId="0" borderId="29" xfId="0" applyNumberFormat="1" applyFont="1" applyFill="1" applyBorder="1" applyAlignment="1">
      <alignment horizontal="right"/>
    </xf>
    <xf numFmtId="0" fontId="12" fillId="0" borderId="0" xfId="0" applyNumberFormat="1" applyFont="1" applyFill="1" applyAlignment="1">
      <alignment horizontal="left"/>
    </xf>
    <xf numFmtId="0" fontId="23" fillId="0" borderId="0" xfId="0" applyNumberFormat="1" applyFont="1" applyAlignment="1">
      <alignment horizontal="left"/>
    </xf>
    <xf numFmtId="0" fontId="12" fillId="0" borderId="0" xfId="0" applyNumberFormat="1" applyFont="1" applyAlignment="1">
      <alignment horizontal="left"/>
    </xf>
    <xf numFmtId="0" fontId="14" fillId="0" borderId="0" xfId="0" applyNumberFormat="1" applyFont="1" applyAlignment="1">
      <alignment horizontal="center"/>
    </xf>
    <xf numFmtId="0" fontId="15" fillId="0" borderId="7" xfId="0" applyNumberFormat="1" applyFont="1" applyBorder="1" applyAlignment="1">
      <alignment horizontal="center"/>
    </xf>
    <xf numFmtId="0" fontId="15" fillId="0" borderId="8" xfId="0" applyNumberFormat="1" applyFont="1" applyBorder="1" applyAlignment="1">
      <alignment horizontal="center"/>
    </xf>
    <xf numFmtId="0" fontId="15" fillId="0" borderId="9" xfId="0" applyNumberFormat="1" applyFont="1" applyBorder="1" applyAlignment="1">
      <alignment horizontal="center"/>
    </xf>
    <xf numFmtId="0" fontId="7" fillId="2" borderId="1" xfId="0" applyNumberFormat="1" applyFont="1" applyFill="1" applyBorder="1" applyAlignment="1">
      <alignment horizontal="center"/>
    </xf>
  </cellXfs>
  <cellStyles count="43">
    <cellStyle name="20% - Accent1 2" xfId="20" xr:uid="{00000000-0005-0000-0000-00002F000000}"/>
    <cellStyle name="20% - Accent2 2" xfId="24" xr:uid="{00000000-0005-0000-0000-000030000000}"/>
    <cellStyle name="20% - Accent3 2" xfId="28" xr:uid="{00000000-0005-0000-0000-000031000000}"/>
    <cellStyle name="20% - Accent4 2" xfId="32" xr:uid="{00000000-0005-0000-0000-000032000000}"/>
    <cellStyle name="20% - Accent5 2" xfId="36" xr:uid="{00000000-0005-0000-0000-000033000000}"/>
    <cellStyle name="20% - Accent6 2" xfId="40" xr:uid="{00000000-0005-0000-0000-000034000000}"/>
    <cellStyle name="40% - Accent1 2" xfId="21" xr:uid="{00000000-0005-0000-0000-000035000000}"/>
    <cellStyle name="40% - Accent2 2" xfId="25" xr:uid="{00000000-0005-0000-0000-000036000000}"/>
    <cellStyle name="40% - Accent3 2" xfId="29" xr:uid="{00000000-0005-0000-0000-000037000000}"/>
    <cellStyle name="40% - Accent4 2" xfId="33" xr:uid="{00000000-0005-0000-0000-000038000000}"/>
    <cellStyle name="40% - Accent5 2" xfId="37" xr:uid="{00000000-0005-0000-0000-000039000000}"/>
    <cellStyle name="40% - Accent6 2" xfId="41" xr:uid="{00000000-0005-0000-0000-00003A000000}"/>
    <cellStyle name="60% - Accent1 2" xfId="22" xr:uid="{00000000-0005-0000-0000-00003B000000}"/>
    <cellStyle name="60% - Accent2 2" xfId="26" xr:uid="{00000000-0005-0000-0000-00003C000000}"/>
    <cellStyle name="60% - Accent3 2" xfId="30" xr:uid="{00000000-0005-0000-0000-00003D000000}"/>
    <cellStyle name="60% - Accent4 2" xfId="34" xr:uid="{00000000-0005-0000-0000-00003E000000}"/>
    <cellStyle name="60% - Accent5 2" xfId="38" xr:uid="{00000000-0005-0000-0000-00003F000000}"/>
    <cellStyle name="60% - Accent6 2" xfId="42" xr:uid="{00000000-0005-0000-0000-000040000000}"/>
    <cellStyle name="Accent1 2" xfId="19" xr:uid="{00000000-0005-0000-0000-000041000000}"/>
    <cellStyle name="Accent2 2" xfId="23" xr:uid="{00000000-0005-0000-0000-000042000000}"/>
    <cellStyle name="Accent3 2" xfId="27" xr:uid="{00000000-0005-0000-0000-000043000000}"/>
    <cellStyle name="Accent4 2" xfId="31" xr:uid="{00000000-0005-0000-0000-000044000000}"/>
    <cellStyle name="Accent5 2" xfId="35" xr:uid="{00000000-0005-0000-0000-000045000000}"/>
    <cellStyle name="Accent6 2" xfId="39" xr:uid="{00000000-0005-0000-0000-000046000000}"/>
    <cellStyle name="Bad 2" xfId="14" xr:uid="{00000000-0005-0000-0000-000047000000}"/>
    <cellStyle name="Calculation" xfId="6" builtinId="22" customBuiltin="1"/>
    <cellStyle name="Check Cell" xfId="8" builtinId="23" customBuiltin="1"/>
    <cellStyle name="Explanatory Text 2" xfId="18" xr:uid="{00000000-0005-0000-0000-000048000000}"/>
    <cellStyle name="Good 2" xfId="13" xr:uid="{00000000-0005-0000-0000-000049000000}"/>
    <cellStyle name="Heading 1" xfId="1" builtinId="16" customBuiltin="1"/>
    <cellStyle name="Heading 2" xfId="2" builtinId="17" customBuiltin="1"/>
    <cellStyle name="Heading 3" xfId="3" builtinId="18" customBuiltin="1"/>
    <cellStyle name="Heading 4 2" xfId="12" xr:uid="{00000000-0005-0000-0000-00004A000000}"/>
    <cellStyle name="Input" xfId="4" builtinId="20" customBuiltin="1"/>
    <cellStyle name="Linked Cell" xfId="7" builtinId="24" customBuiltin="1"/>
    <cellStyle name="Neutral 2" xfId="15" xr:uid="{00000000-0005-0000-0000-00004B000000}"/>
    <cellStyle name="Normal" xfId="0" builtinId="0"/>
    <cellStyle name="Normal 2" xfId="10" xr:uid="{00000000-0005-0000-0000-00004C000000}"/>
    <cellStyle name="Note 2" xfId="17" xr:uid="{00000000-0005-0000-0000-00004D000000}"/>
    <cellStyle name="Output" xfId="5" builtinId="21" customBuiltin="1"/>
    <cellStyle name="Title 2" xfId="11" xr:uid="{00000000-0005-0000-0000-00004E000000}"/>
    <cellStyle name="Total" xfId="9" builtinId="25" customBuiltin="1"/>
    <cellStyle name="Warning Text 2" xfId="16" xr:uid="{00000000-0005-0000-0000-00004F000000}"/>
  </cellStyles>
  <dxfs count="10"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C000"/>
      <rgbColor rgb="FFFFFF00"/>
      <rgbColor rgb="FF00FF00"/>
      <rgbColor rgb="FFFFD965"/>
      <rgbColor rgb="FF0000FF"/>
      <rgbColor rgb="FFBDD6EE"/>
      <rgbColor rgb="FFA7A7A7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99"/>
  </sheetPr>
  <dimension ref="A1:I54"/>
  <sheetViews>
    <sheetView workbookViewId="0">
      <selection activeCell="A56" sqref="A56"/>
    </sheetView>
  </sheetViews>
  <sheetFormatPr defaultRowHeight="15"/>
  <cols>
    <col min="2" max="2" width="25.85546875" bestFit="1" customWidth="1"/>
    <col min="3" max="3" width="14.5703125" customWidth="1"/>
    <col min="4" max="4" width="16.7109375" customWidth="1"/>
    <col min="5" max="5" width="16.28515625" customWidth="1"/>
    <col min="6" max="6" width="10.140625" customWidth="1"/>
    <col min="7" max="7" width="7.42578125" bestFit="1" customWidth="1"/>
    <col min="8" max="8" width="12" customWidth="1"/>
    <col min="9" max="9" width="9.85546875" style="4" customWidth="1"/>
  </cols>
  <sheetData>
    <row r="1" spans="1:9">
      <c r="B1" s="132" t="s">
        <v>94</v>
      </c>
    </row>
    <row r="3" spans="1:9" ht="15.75">
      <c r="A3" s="12" t="s">
        <v>79</v>
      </c>
      <c r="B3" s="5" t="s">
        <v>55</v>
      </c>
      <c r="C3" s="5" t="s">
        <v>23</v>
      </c>
      <c r="D3" s="5" t="s">
        <v>24</v>
      </c>
      <c r="E3" s="5" t="s">
        <v>29</v>
      </c>
      <c r="F3" s="5" t="s">
        <v>25</v>
      </c>
      <c r="G3" s="5" t="s">
        <v>30</v>
      </c>
      <c r="H3" s="5" t="s">
        <v>28</v>
      </c>
      <c r="I3" s="5" t="s">
        <v>19</v>
      </c>
    </row>
    <row r="4" spans="1:9" ht="15.75">
      <c r="A4" s="4">
        <v>1</v>
      </c>
      <c r="B4" s="111" t="s">
        <v>104</v>
      </c>
      <c r="C4" s="14" t="str">
        <f t="shared" ref="C4:C34" si="0">RIGHT(B4,LEN(B4)-SEARCH(" ",B4))</f>
        <v>Mary-Alice</v>
      </c>
      <c r="D4" s="14" t="str">
        <f t="shared" ref="D4:D34" si="1">LEFT(B4,LEN(B4)-LEN(C4)-2)</f>
        <v>Campbell</v>
      </c>
      <c r="E4" s="14" t="s">
        <v>105</v>
      </c>
      <c r="F4" s="14" t="s">
        <v>27</v>
      </c>
      <c r="G4" s="14" t="s">
        <v>54</v>
      </c>
      <c r="H4" s="15"/>
      <c r="I4" s="133">
        <v>70</v>
      </c>
    </row>
    <row r="5" spans="1:9" ht="15.75">
      <c r="A5" s="4">
        <v>2</v>
      </c>
      <c r="B5" s="14" t="s">
        <v>66</v>
      </c>
      <c r="C5" s="14" t="str">
        <f t="shared" si="0"/>
        <v>Lianna</v>
      </c>
      <c r="D5" s="14" t="str">
        <f t="shared" si="1"/>
        <v>Constantinou</v>
      </c>
      <c r="E5" s="14" t="s">
        <v>46</v>
      </c>
      <c r="F5" s="14" t="s">
        <v>27</v>
      </c>
      <c r="G5" s="14" t="s">
        <v>54</v>
      </c>
      <c r="H5" s="15"/>
      <c r="I5" s="16">
        <v>71</v>
      </c>
    </row>
    <row r="6" spans="1:9" ht="15.75">
      <c r="A6" s="4">
        <v>3</v>
      </c>
      <c r="B6" s="14" t="s">
        <v>123</v>
      </c>
      <c r="C6" s="14" t="str">
        <f t="shared" si="0"/>
        <v>Bibiana</v>
      </c>
      <c r="D6" s="14" t="str">
        <f t="shared" si="1"/>
        <v>Agudelo</v>
      </c>
      <c r="E6" s="14" t="s">
        <v>124</v>
      </c>
      <c r="F6" s="14" t="s">
        <v>27</v>
      </c>
      <c r="G6" s="14" t="s">
        <v>54</v>
      </c>
      <c r="H6" s="15"/>
      <c r="I6" s="16">
        <v>75</v>
      </c>
    </row>
    <row r="7" spans="1:9" ht="15.75">
      <c r="A7" s="4">
        <v>4</v>
      </c>
      <c r="B7" s="14" t="s">
        <v>62</v>
      </c>
      <c r="C7" s="14" t="str">
        <f t="shared" si="0"/>
        <v>Amanda</v>
      </c>
      <c r="D7" s="14" t="str">
        <f t="shared" si="1"/>
        <v>Davies</v>
      </c>
      <c r="E7" s="14" t="s">
        <v>40</v>
      </c>
      <c r="F7" s="14" t="s">
        <v>27</v>
      </c>
      <c r="G7" s="14" t="s">
        <v>54</v>
      </c>
      <c r="H7" s="15"/>
      <c r="I7" s="16">
        <v>70</v>
      </c>
    </row>
    <row r="8" spans="1:9" ht="15.75">
      <c r="A8" s="4">
        <v>5</v>
      </c>
      <c r="B8" s="14" t="s">
        <v>95</v>
      </c>
      <c r="C8" s="14" t="str">
        <f t="shared" si="0"/>
        <v>Alice</v>
      </c>
      <c r="D8" s="14" t="str">
        <f t="shared" ref="D8" si="2">LEFT(B8,LEN(B8)-LEN(C8)-2)</f>
        <v>Cheok</v>
      </c>
      <c r="E8" s="14" t="s">
        <v>101</v>
      </c>
      <c r="F8" s="14" t="s">
        <v>27</v>
      </c>
      <c r="G8" s="14" t="s">
        <v>54</v>
      </c>
      <c r="H8" s="15"/>
      <c r="I8" s="16">
        <v>58</v>
      </c>
    </row>
    <row r="9" spans="1:9" ht="15.75">
      <c r="A9" s="4">
        <v>6</v>
      </c>
      <c r="B9" s="111" t="s">
        <v>120</v>
      </c>
      <c r="C9" s="14" t="str">
        <f t="shared" si="0"/>
        <v>Yanhua</v>
      </c>
      <c r="D9" s="14" t="str">
        <f t="shared" si="1"/>
        <v>Hu</v>
      </c>
      <c r="E9" s="14" t="s">
        <v>122</v>
      </c>
      <c r="F9" s="14" t="s">
        <v>27</v>
      </c>
      <c r="G9" s="14" t="s">
        <v>54</v>
      </c>
      <c r="H9" s="15"/>
      <c r="I9" s="133">
        <v>65</v>
      </c>
    </row>
    <row r="10" spans="1:9" ht="15.75">
      <c r="A10" s="4">
        <v>7</v>
      </c>
      <c r="B10" s="14" t="s">
        <v>60</v>
      </c>
      <c r="C10" s="14" t="str">
        <f t="shared" si="0"/>
        <v>Amanda</v>
      </c>
      <c r="D10" s="14" t="str">
        <f t="shared" si="1"/>
        <v>Finneran</v>
      </c>
      <c r="E10" s="14" t="s">
        <v>37</v>
      </c>
      <c r="F10" s="14" t="s">
        <v>27</v>
      </c>
      <c r="G10" s="14" t="s">
        <v>54</v>
      </c>
      <c r="H10" s="15"/>
      <c r="I10" s="16">
        <v>75</v>
      </c>
    </row>
    <row r="11" spans="1:9" ht="15.75">
      <c r="A11" s="4">
        <v>8</v>
      </c>
      <c r="B11" s="14" t="s">
        <v>63</v>
      </c>
      <c r="C11" s="14" t="str">
        <f t="shared" si="0"/>
        <v>Helen</v>
      </c>
      <c r="D11" s="14" t="str">
        <f t="shared" si="1"/>
        <v>Ford</v>
      </c>
      <c r="E11" s="14" t="s">
        <v>41</v>
      </c>
      <c r="F11" s="14" t="s">
        <v>27</v>
      </c>
      <c r="G11" s="14" t="s">
        <v>54</v>
      </c>
      <c r="H11" s="15"/>
      <c r="I11" s="16">
        <v>55</v>
      </c>
    </row>
    <row r="12" spans="1:9" ht="15.75">
      <c r="A12" s="4">
        <v>9</v>
      </c>
      <c r="B12" s="14" t="s">
        <v>125</v>
      </c>
      <c r="C12" s="14" t="str">
        <f t="shared" si="0"/>
        <v>Janet</v>
      </c>
      <c r="D12" s="14" t="str">
        <f t="shared" si="1"/>
        <v>Angus</v>
      </c>
      <c r="E12" s="14" t="s">
        <v>126</v>
      </c>
      <c r="F12" s="14" t="s">
        <v>27</v>
      </c>
      <c r="G12" s="14" t="s">
        <v>54</v>
      </c>
      <c r="H12" s="15"/>
      <c r="I12" s="16">
        <v>74</v>
      </c>
    </row>
    <row r="13" spans="1:9" ht="15.75">
      <c r="A13" s="4">
        <v>10</v>
      </c>
      <c r="B13" s="14" t="s">
        <v>65</v>
      </c>
      <c r="C13" s="14" t="str">
        <f t="shared" si="0"/>
        <v>Leah</v>
      </c>
      <c r="D13" s="14" t="str">
        <f t="shared" si="1"/>
        <v>Hasapis</v>
      </c>
      <c r="E13" s="14" t="s">
        <v>45</v>
      </c>
      <c r="F13" s="14" t="s">
        <v>27</v>
      </c>
      <c r="G13" s="14" t="s">
        <v>54</v>
      </c>
      <c r="H13" s="15"/>
      <c r="I13" s="16">
        <v>73</v>
      </c>
    </row>
    <row r="14" spans="1:9" ht="15.75">
      <c r="A14" s="4">
        <v>11</v>
      </c>
      <c r="B14" s="14" t="s">
        <v>57</v>
      </c>
      <c r="C14" s="14" t="str">
        <f t="shared" si="0"/>
        <v>Deb</v>
      </c>
      <c r="D14" s="14" t="str">
        <f t="shared" si="1"/>
        <v>Hirst</v>
      </c>
      <c r="E14" s="14" t="s">
        <v>34</v>
      </c>
      <c r="F14" s="14" t="s">
        <v>27</v>
      </c>
      <c r="G14" s="14" t="s">
        <v>54</v>
      </c>
      <c r="H14" s="15"/>
      <c r="I14" s="16">
        <v>64</v>
      </c>
    </row>
    <row r="15" spans="1:9" ht="15.75">
      <c r="A15" s="4">
        <v>12</v>
      </c>
      <c r="B15" s="14" t="s">
        <v>67</v>
      </c>
      <c r="C15" s="14" t="str">
        <f t="shared" si="0"/>
        <v>Rachael</v>
      </c>
      <c r="D15" s="14" t="str">
        <f t="shared" si="1"/>
        <v>Holt</v>
      </c>
      <c r="E15" s="14" t="s">
        <v>52</v>
      </c>
      <c r="F15" s="14" t="s">
        <v>27</v>
      </c>
      <c r="G15" s="14" t="s">
        <v>54</v>
      </c>
      <c r="H15" s="15"/>
      <c r="I15" s="16">
        <v>85</v>
      </c>
    </row>
    <row r="16" spans="1:9" ht="15.75">
      <c r="A16" s="4">
        <v>13</v>
      </c>
      <c r="B16" s="14" t="s">
        <v>112</v>
      </c>
      <c r="C16" s="14" t="str">
        <f t="shared" si="0"/>
        <v>Rebekah</v>
      </c>
      <c r="D16" s="14" t="str">
        <f t="shared" si="1"/>
        <v>Hanssens</v>
      </c>
      <c r="E16" s="14" t="s">
        <v>113</v>
      </c>
      <c r="F16" s="14" t="s">
        <v>27</v>
      </c>
      <c r="G16" s="14" t="s">
        <v>54</v>
      </c>
      <c r="H16" s="15"/>
      <c r="I16" s="133">
        <v>65</v>
      </c>
    </row>
    <row r="17" spans="1:9" ht="15.75">
      <c r="A17" s="4">
        <v>14</v>
      </c>
      <c r="B17" s="14" t="s">
        <v>61</v>
      </c>
      <c r="C17" s="14" t="str">
        <f t="shared" si="0"/>
        <v>Jocelyn</v>
      </c>
      <c r="D17" s="14" t="str">
        <f t="shared" si="1"/>
        <v>Kemp</v>
      </c>
      <c r="E17" s="14" t="s">
        <v>39</v>
      </c>
      <c r="F17" s="14" t="s">
        <v>27</v>
      </c>
      <c r="G17" s="14" t="s">
        <v>54</v>
      </c>
      <c r="H17" s="15"/>
      <c r="I17" s="16">
        <v>58</v>
      </c>
    </row>
    <row r="18" spans="1:9" ht="15.75">
      <c r="A18" s="4">
        <v>15</v>
      </c>
      <c r="B18" s="14" t="s">
        <v>137</v>
      </c>
      <c r="C18" s="14" t="str">
        <f t="shared" si="0"/>
        <v>Alice</v>
      </c>
      <c r="D18" s="14" t="str">
        <f t="shared" si="1"/>
        <v>Steel</v>
      </c>
      <c r="E18" s="14" t="s">
        <v>138</v>
      </c>
      <c r="F18" s="14" t="s">
        <v>27</v>
      </c>
      <c r="G18" s="14" t="s">
        <v>54</v>
      </c>
      <c r="H18" s="15"/>
      <c r="I18" s="16">
        <v>47</v>
      </c>
    </row>
    <row r="19" spans="1:9" ht="15.75">
      <c r="A19" s="4">
        <v>16</v>
      </c>
      <c r="B19" s="111" t="s">
        <v>106</v>
      </c>
      <c r="C19" s="14" t="str">
        <f t="shared" si="0"/>
        <v>Alison</v>
      </c>
      <c r="D19" s="14" t="str">
        <f t="shared" si="1"/>
        <v>Murphy</v>
      </c>
      <c r="E19" s="14" t="s">
        <v>107</v>
      </c>
      <c r="F19" s="14" t="s">
        <v>27</v>
      </c>
      <c r="G19" s="14" t="s">
        <v>54</v>
      </c>
      <c r="H19" s="15"/>
      <c r="I19" s="16">
        <v>74</v>
      </c>
    </row>
    <row r="20" spans="1:9" ht="15.75">
      <c r="A20" s="4">
        <v>17</v>
      </c>
      <c r="B20" s="14" t="s">
        <v>118</v>
      </c>
      <c r="C20" s="14" t="str">
        <f t="shared" si="0"/>
        <v>Victoria</v>
      </c>
      <c r="D20" s="14" t="str">
        <f t="shared" si="1"/>
        <v>Hallett</v>
      </c>
      <c r="E20" s="14" t="s">
        <v>119</v>
      </c>
      <c r="F20" s="14" t="s">
        <v>27</v>
      </c>
      <c r="G20" s="14" t="s">
        <v>54</v>
      </c>
      <c r="H20" s="15"/>
      <c r="I20" s="16">
        <v>58</v>
      </c>
    </row>
    <row r="21" spans="1:9" ht="15.75">
      <c r="A21" s="4">
        <v>18</v>
      </c>
      <c r="B21" s="14" t="s">
        <v>131</v>
      </c>
      <c r="C21" s="14" t="str">
        <f t="shared" si="0"/>
        <v>Anne-Marie</v>
      </c>
      <c r="D21" s="14" t="str">
        <f t="shared" si="1"/>
        <v>Dobner</v>
      </c>
      <c r="E21" s="14" t="s">
        <v>132</v>
      </c>
      <c r="F21" s="14" t="s">
        <v>27</v>
      </c>
      <c r="G21" s="14" t="s">
        <v>54</v>
      </c>
      <c r="H21" s="15"/>
      <c r="I21" s="16">
        <v>67</v>
      </c>
    </row>
    <row r="22" spans="1:9" ht="15.75">
      <c r="A22" s="4">
        <v>19</v>
      </c>
      <c r="B22" s="14" t="s">
        <v>133</v>
      </c>
      <c r="C22" s="14" t="str">
        <f t="shared" si="0"/>
        <v>Elizabeth</v>
      </c>
      <c r="D22" s="14" t="str">
        <f t="shared" si="1"/>
        <v>McKenna</v>
      </c>
      <c r="E22" s="14" t="s">
        <v>134</v>
      </c>
      <c r="F22" s="14" t="s">
        <v>27</v>
      </c>
      <c r="G22" s="14" t="s">
        <v>54</v>
      </c>
      <c r="H22" s="15"/>
      <c r="I22" s="16">
        <v>64</v>
      </c>
    </row>
    <row r="23" spans="1:9" ht="15.75">
      <c r="A23" s="4">
        <v>20</v>
      </c>
      <c r="B23" s="14" t="s">
        <v>135</v>
      </c>
      <c r="C23" s="14" t="str">
        <f t="shared" si="0"/>
        <v>Rohini</v>
      </c>
      <c r="D23" s="14" t="str">
        <f t="shared" si="1"/>
        <v>Rai</v>
      </c>
      <c r="E23" s="14" t="s">
        <v>136</v>
      </c>
      <c r="F23" s="14" t="s">
        <v>27</v>
      </c>
      <c r="G23" s="14" t="s">
        <v>54</v>
      </c>
      <c r="H23" s="15"/>
      <c r="I23" s="133">
        <v>70</v>
      </c>
    </row>
    <row r="24" spans="1:9" ht="15.75">
      <c r="A24" s="4">
        <v>21</v>
      </c>
      <c r="B24" s="14" t="s">
        <v>64</v>
      </c>
      <c r="C24" s="14" t="str">
        <f t="shared" si="0"/>
        <v>Nicole</v>
      </c>
      <c r="D24" s="14" t="str">
        <f t="shared" si="1"/>
        <v>Phillips</v>
      </c>
      <c r="E24" s="14" t="s">
        <v>44</v>
      </c>
      <c r="F24" s="14" t="s">
        <v>27</v>
      </c>
      <c r="G24" s="14" t="s">
        <v>54</v>
      </c>
      <c r="H24" s="15"/>
      <c r="I24" s="16">
        <v>80</v>
      </c>
    </row>
    <row r="25" spans="1:9" ht="15.75">
      <c r="A25" s="4">
        <v>22</v>
      </c>
      <c r="B25" s="14" t="s">
        <v>129</v>
      </c>
      <c r="C25" s="14" t="str">
        <f t="shared" si="0"/>
        <v>Miu</v>
      </c>
      <c r="D25" s="14" t="str">
        <f t="shared" si="1"/>
        <v>Chiu</v>
      </c>
      <c r="E25" s="14" t="s">
        <v>130</v>
      </c>
      <c r="F25" s="14" t="s">
        <v>27</v>
      </c>
      <c r="G25" s="14" t="s">
        <v>54</v>
      </c>
      <c r="H25" s="15"/>
      <c r="I25" s="16">
        <v>52</v>
      </c>
    </row>
    <row r="26" spans="1:9" ht="15.75">
      <c r="A26" s="4">
        <v>23</v>
      </c>
      <c r="B26" s="14" t="s">
        <v>58</v>
      </c>
      <c r="C26" s="14" t="str">
        <f t="shared" si="0"/>
        <v>Sarah-Jane</v>
      </c>
      <c r="D26" s="14" t="str">
        <f t="shared" si="1"/>
        <v>Rennie</v>
      </c>
      <c r="E26" s="14" t="s">
        <v>20</v>
      </c>
      <c r="F26" s="14" t="s">
        <v>27</v>
      </c>
      <c r="G26" s="14" t="s">
        <v>54</v>
      </c>
      <c r="H26" s="15"/>
      <c r="I26" s="16">
        <v>62</v>
      </c>
    </row>
    <row r="27" spans="1:9" ht="15.75">
      <c r="A27" s="4">
        <v>24</v>
      </c>
      <c r="B27" s="14" t="s">
        <v>127</v>
      </c>
      <c r="C27" s="14" t="str">
        <f t="shared" si="0"/>
        <v>Ma Divina Angela</v>
      </c>
      <c r="D27" s="14" t="str">
        <f t="shared" si="1"/>
        <v>Bauzon</v>
      </c>
      <c r="E27" s="14" t="s">
        <v>128</v>
      </c>
      <c r="F27" s="14" t="s">
        <v>27</v>
      </c>
      <c r="G27" s="14" t="s">
        <v>54</v>
      </c>
      <c r="H27" s="15"/>
      <c r="I27" s="16">
        <v>54</v>
      </c>
    </row>
    <row r="28" spans="1:9" ht="15.75">
      <c r="A28" s="4">
        <v>25</v>
      </c>
      <c r="B28" s="14" t="s">
        <v>56</v>
      </c>
      <c r="C28" s="14" t="str">
        <f t="shared" si="0"/>
        <v>Sue</v>
      </c>
      <c r="D28" s="14" t="str">
        <f t="shared" si="1"/>
        <v>Tolhurst</v>
      </c>
      <c r="E28" s="14" t="s">
        <v>32</v>
      </c>
      <c r="F28" s="14" t="s">
        <v>27</v>
      </c>
      <c r="G28" s="14" t="s">
        <v>54</v>
      </c>
      <c r="H28" s="15"/>
      <c r="I28" s="16">
        <v>63</v>
      </c>
    </row>
    <row r="29" spans="1:9" ht="15.75">
      <c r="A29" s="4">
        <v>26</v>
      </c>
      <c r="B29" s="14" t="s">
        <v>116</v>
      </c>
      <c r="C29" s="14" t="str">
        <f t="shared" si="0"/>
        <v>Maria</v>
      </c>
      <c r="D29" s="14" t="str">
        <f t="shared" si="1"/>
        <v>Murphy</v>
      </c>
      <c r="E29" s="14" t="s">
        <v>117</v>
      </c>
      <c r="F29" s="14" t="s">
        <v>27</v>
      </c>
      <c r="G29" s="14" t="s">
        <v>54</v>
      </c>
      <c r="H29" s="15"/>
      <c r="I29" s="16">
        <v>65</v>
      </c>
    </row>
    <row r="30" spans="1:9" ht="15.75">
      <c r="A30" s="4">
        <v>27</v>
      </c>
      <c r="B30" s="14" t="s">
        <v>69</v>
      </c>
      <c r="C30" s="14" t="str">
        <f t="shared" si="0"/>
        <v>George</v>
      </c>
      <c r="D30" s="14" t="str">
        <f t="shared" si="1"/>
        <v>Abuzo</v>
      </c>
      <c r="E30" s="14" t="s">
        <v>42</v>
      </c>
      <c r="F30" s="14" t="s">
        <v>26</v>
      </c>
      <c r="G30" s="14" t="s">
        <v>54</v>
      </c>
      <c r="H30" s="15"/>
      <c r="I30" s="16">
        <v>80</v>
      </c>
    </row>
    <row r="31" spans="1:9" ht="15.75">
      <c r="A31" s="4">
        <v>28</v>
      </c>
      <c r="B31" s="111" t="s">
        <v>108</v>
      </c>
      <c r="C31" s="14" t="str">
        <f t="shared" si="0"/>
        <v>Joe</v>
      </c>
      <c r="D31" s="14" t="str">
        <f t="shared" si="1"/>
        <v>Dizon</v>
      </c>
      <c r="E31" s="14" t="s">
        <v>109</v>
      </c>
      <c r="F31" s="14" t="s">
        <v>26</v>
      </c>
      <c r="G31" s="14" t="s">
        <v>54</v>
      </c>
      <c r="H31" s="15"/>
      <c r="I31" s="16">
        <v>70</v>
      </c>
    </row>
    <row r="32" spans="1:9" ht="15.75">
      <c r="A32" s="4">
        <v>29</v>
      </c>
      <c r="B32" s="14" t="s">
        <v>91</v>
      </c>
      <c r="C32" s="14" t="str">
        <f t="shared" si="0"/>
        <v>Peter</v>
      </c>
      <c r="D32" s="14" t="str">
        <f t="shared" si="1"/>
        <v>Cerneaz</v>
      </c>
      <c r="E32" s="14" t="s">
        <v>92</v>
      </c>
      <c r="F32" s="14" t="s">
        <v>26</v>
      </c>
      <c r="G32" s="14" t="s">
        <v>54</v>
      </c>
      <c r="H32" s="15"/>
      <c r="I32" s="16">
        <v>93</v>
      </c>
    </row>
    <row r="33" spans="1:9" ht="15.75">
      <c r="A33" s="4">
        <v>30</v>
      </c>
      <c r="B33" s="111" t="s">
        <v>121</v>
      </c>
      <c r="C33" s="14" t="str">
        <f t="shared" si="0"/>
        <v>Rodney</v>
      </c>
      <c r="D33" s="14" t="str">
        <f t="shared" si="1"/>
        <v>Skinner</v>
      </c>
      <c r="E33" s="14" t="s">
        <v>100</v>
      </c>
      <c r="F33" s="14" t="s">
        <v>26</v>
      </c>
      <c r="G33" s="14" t="s">
        <v>54</v>
      </c>
      <c r="H33" s="15"/>
      <c r="I33" s="135">
        <v>77</v>
      </c>
    </row>
    <row r="34" spans="1:9" ht="15.75">
      <c r="A34" s="4">
        <v>31</v>
      </c>
      <c r="B34" s="14" t="s">
        <v>68</v>
      </c>
      <c r="C34" s="14" t="str">
        <f t="shared" si="0"/>
        <v>Simon</v>
      </c>
      <c r="D34" s="14" t="str">
        <f t="shared" si="1"/>
        <v>Freke</v>
      </c>
      <c r="E34" s="14" t="s">
        <v>33</v>
      </c>
      <c r="F34" s="14" t="s">
        <v>26</v>
      </c>
      <c r="G34" s="14" t="s">
        <v>54</v>
      </c>
      <c r="H34" s="15"/>
      <c r="I34" s="16">
        <v>64</v>
      </c>
    </row>
    <row r="35" spans="1:9" ht="15.75">
      <c r="A35" s="4">
        <v>32</v>
      </c>
      <c r="B35" s="14" t="s">
        <v>74</v>
      </c>
      <c r="C35" s="14" t="str">
        <f t="shared" ref="C35:C51" si="3">RIGHT(B35,LEN(B35)-SEARCH(" ",B35))</f>
        <v>Detlef</v>
      </c>
      <c r="D35" s="14" t="str">
        <f t="shared" ref="D35:D51" si="4">LEFT(B35,LEN(B35)-LEN(C35)-2)</f>
        <v>Haupt</v>
      </c>
      <c r="E35" s="14" t="s">
        <v>50</v>
      </c>
      <c r="F35" s="14" t="s">
        <v>26</v>
      </c>
      <c r="G35" s="14" t="s">
        <v>54</v>
      </c>
      <c r="H35" s="15"/>
      <c r="I35" s="16">
        <v>90</v>
      </c>
    </row>
    <row r="36" spans="1:9" ht="15.75">
      <c r="A36" s="4">
        <v>33</v>
      </c>
      <c r="B36" s="14" t="s">
        <v>72</v>
      </c>
      <c r="C36" s="14" t="str">
        <f t="shared" si="3"/>
        <v>Paul</v>
      </c>
      <c r="D36" s="14" t="str">
        <f t="shared" si="4"/>
        <v>Jeffree</v>
      </c>
      <c r="E36" s="14" t="s">
        <v>48</v>
      </c>
      <c r="F36" s="14" t="s">
        <v>26</v>
      </c>
      <c r="G36" s="14" t="s">
        <v>54</v>
      </c>
      <c r="H36" s="15"/>
      <c r="I36" s="16">
        <v>91</v>
      </c>
    </row>
    <row r="37" spans="1:9" ht="15.75">
      <c r="A37" s="4">
        <v>34</v>
      </c>
      <c r="B37" s="14" t="s">
        <v>75</v>
      </c>
      <c r="C37" s="14" t="str">
        <f t="shared" si="3"/>
        <v>Aydin</v>
      </c>
      <c r="D37" s="14" t="str">
        <f t="shared" si="4"/>
        <v>Kizilirmak</v>
      </c>
      <c r="E37" s="14" t="s">
        <v>51</v>
      </c>
      <c r="F37" s="14" t="s">
        <v>26</v>
      </c>
      <c r="G37" s="14" t="s">
        <v>54</v>
      </c>
      <c r="H37" s="15"/>
      <c r="I37" s="16">
        <v>83</v>
      </c>
    </row>
    <row r="38" spans="1:9" ht="15.75">
      <c r="A38" s="4">
        <v>35</v>
      </c>
      <c r="B38" s="111" t="s">
        <v>102</v>
      </c>
      <c r="C38" s="14" t="str">
        <f t="shared" si="3"/>
        <v>Diego</v>
      </c>
      <c r="D38" s="14" t="str">
        <f t="shared" si="4"/>
        <v>Escalona</v>
      </c>
      <c r="E38" s="14" t="s">
        <v>103</v>
      </c>
      <c r="F38" s="14" t="s">
        <v>26</v>
      </c>
      <c r="G38" s="14" t="s">
        <v>54</v>
      </c>
      <c r="H38" s="15"/>
      <c r="I38" s="16">
        <v>84</v>
      </c>
    </row>
    <row r="39" spans="1:9" ht="15.75">
      <c r="A39" s="4">
        <v>36</v>
      </c>
      <c r="B39" s="14" t="s">
        <v>97</v>
      </c>
      <c r="C39" s="14" t="str">
        <f t="shared" si="3"/>
        <v>Sean</v>
      </c>
      <c r="D39" s="14" t="str">
        <f t="shared" si="4"/>
        <v>Wong</v>
      </c>
      <c r="E39" s="14" t="s">
        <v>98</v>
      </c>
      <c r="F39" s="14" t="s">
        <v>26</v>
      </c>
      <c r="G39" s="14" t="s">
        <v>54</v>
      </c>
      <c r="H39" s="15"/>
      <c r="I39" s="16">
        <v>70</v>
      </c>
    </row>
    <row r="40" spans="1:9" ht="15.75">
      <c r="A40" s="4">
        <v>37</v>
      </c>
      <c r="B40" s="14" t="s">
        <v>96</v>
      </c>
      <c r="C40" s="14" t="str">
        <f t="shared" si="3"/>
        <v>Andrea</v>
      </c>
      <c r="D40" s="14" t="str">
        <f t="shared" ref="D40:D41" si="5">LEFT(B40,LEN(B40)-LEN(C40)-2)</f>
        <v>Moro</v>
      </c>
      <c r="E40" s="14" t="s">
        <v>99</v>
      </c>
      <c r="F40" s="14" t="s">
        <v>26</v>
      </c>
      <c r="G40" s="14" t="s">
        <v>54</v>
      </c>
      <c r="H40" s="15"/>
      <c r="I40" s="16">
        <v>65</v>
      </c>
    </row>
    <row r="41" spans="1:9" ht="15.75">
      <c r="A41" s="4">
        <v>38</v>
      </c>
      <c r="B41" s="14" t="s">
        <v>73</v>
      </c>
      <c r="C41" s="14" t="str">
        <f t="shared" si="3"/>
        <v>John</v>
      </c>
      <c r="D41" s="14" t="str">
        <f t="shared" si="5"/>
        <v>Taylor</v>
      </c>
      <c r="E41" s="14" t="s">
        <v>100</v>
      </c>
      <c r="F41" s="14" t="s">
        <v>26</v>
      </c>
      <c r="G41" s="14" t="s">
        <v>54</v>
      </c>
      <c r="H41" s="15"/>
      <c r="I41" s="16">
        <v>77</v>
      </c>
    </row>
    <row r="42" spans="1:9" ht="15.75">
      <c r="A42" s="4">
        <v>39</v>
      </c>
      <c r="B42" s="14" t="s">
        <v>71</v>
      </c>
      <c r="C42" s="14" t="str">
        <f t="shared" si="3"/>
        <v>Kiran</v>
      </c>
      <c r="D42" s="14" t="str">
        <f t="shared" si="4"/>
        <v>Ramrakha</v>
      </c>
      <c r="E42" s="14" t="s">
        <v>47</v>
      </c>
      <c r="F42" s="14" t="s">
        <v>26</v>
      </c>
      <c r="G42" s="14" t="s">
        <v>54</v>
      </c>
      <c r="H42" s="15"/>
      <c r="I42" s="16">
        <v>95</v>
      </c>
    </row>
    <row r="43" spans="1:9" ht="15.75">
      <c r="A43" s="4">
        <v>40</v>
      </c>
      <c r="B43" s="111" t="s">
        <v>110</v>
      </c>
      <c r="C43" s="14" t="str">
        <f t="shared" si="3"/>
        <v>Andrew</v>
      </c>
      <c r="D43" s="14" t="str">
        <f t="shared" si="4"/>
        <v>Harris</v>
      </c>
      <c r="E43" s="14" t="s">
        <v>111</v>
      </c>
      <c r="F43" s="14" t="s">
        <v>26</v>
      </c>
      <c r="G43" s="14" t="s">
        <v>54</v>
      </c>
      <c r="H43" s="15"/>
      <c r="I43" s="16">
        <v>77</v>
      </c>
    </row>
    <row r="44" spans="1:9" ht="15.75">
      <c r="A44" s="4">
        <v>41</v>
      </c>
      <c r="B44" s="14" t="s">
        <v>73</v>
      </c>
      <c r="C44" s="14" t="str">
        <f t="shared" si="3"/>
        <v>John</v>
      </c>
      <c r="D44" s="14" t="str">
        <f t="shared" si="4"/>
        <v>Taylor</v>
      </c>
      <c r="E44" s="14" t="s">
        <v>49</v>
      </c>
      <c r="F44" s="14" t="s">
        <v>26</v>
      </c>
      <c r="G44" s="14" t="s">
        <v>54</v>
      </c>
      <c r="H44" s="15"/>
      <c r="I44" s="16">
        <v>105</v>
      </c>
    </row>
    <row r="45" spans="1:9" ht="15.75">
      <c r="A45" s="4">
        <v>42</v>
      </c>
      <c r="B45" s="14" t="s">
        <v>70</v>
      </c>
      <c r="C45" s="14" t="str">
        <f t="shared" si="3"/>
        <v>Petr</v>
      </c>
      <c r="D45" s="14" t="str">
        <f t="shared" si="4"/>
        <v>Valouch</v>
      </c>
      <c r="E45" s="14" t="s">
        <v>43</v>
      </c>
      <c r="F45" s="14" t="s">
        <v>26</v>
      </c>
      <c r="G45" s="14" t="s">
        <v>54</v>
      </c>
      <c r="H45" s="15"/>
      <c r="I45" s="16">
        <v>73</v>
      </c>
    </row>
    <row r="46" spans="1:9" ht="15.75">
      <c r="A46" s="4">
        <v>43</v>
      </c>
      <c r="B46" s="134" t="s">
        <v>114</v>
      </c>
      <c r="C46" s="14" t="str">
        <f t="shared" ref="C46" si="6">RIGHT(B46,LEN(B46)-SEARCH(" ",B46))</f>
        <v>Andrew</v>
      </c>
      <c r="D46" s="14" t="str">
        <f t="shared" ref="D46" si="7">LEFT(B46,LEN(B46)-LEN(C46)-2)</f>
        <v>Boerma</v>
      </c>
      <c r="E46" s="14" t="s">
        <v>115</v>
      </c>
      <c r="F46" s="14" t="s">
        <v>26</v>
      </c>
      <c r="G46" s="14" t="s">
        <v>54</v>
      </c>
      <c r="H46" s="15"/>
      <c r="I46" s="16">
        <v>75</v>
      </c>
    </row>
    <row r="47" spans="1:9" ht="15.75">
      <c r="A47" s="4">
        <v>44</v>
      </c>
      <c r="B47" s="14" t="s">
        <v>139</v>
      </c>
      <c r="C47" s="14" t="str">
        <f t="shared" si="3"/>
        <v>Michael</v>
      </c>
      <c r="D47" s="14" t="str">
        <f t="shared" si="4"/>
        <v>Hemming</v>
      </c>
      <c r="E47" s="15" t="s">
        <v>140</v>
      </c>
      <c r="F47" s="15" t="s">
        <v>26</v>
      </c>
      <c r="G47" s="15" t="s">
        <v>54</v>
      </c>
      <c r="H47" s="15"/>
      <c r="I47" s="16">
        <v>82</v>
      </c>
    </row>
    <row r="48" spans="1:9" ht="15.75">
      <c r="A48" s="4">
        <v>45</v>
      </c>
      <c r="B48" s="14" t="s">
        <v>141</v>
      </c>
      <c r="C48" s="14" t="s">
        <v>143</v>
      </c>
      <c r="D48" s="14" t="s">
        <v>142</v>
      </c>
      <c r="E48" s="14" t="s">
        <v>144</v>
      </c>
      <c r="F48" s="14" t="s">
        <v>26</v>
      </c>
      <c r="G48" s="14" t="s">
        <v>53</v>
      </c>
      <c r="H48" s="15"/>
      <c r="I48" s="16">
        <v>90</v>
      </c>
    </row>
    <row r="49" spans="1:9" ht="15.75">
      <c r="A49" s="4">
        <v>46</v>
      </c>
      <c r="B49" s="14" t="s">
        <v>145</v>
      </c>
      <c r="C49" s="14" t="str">
        <f t="shared" si="3"/>
        <v>Marc Ericson</v>
      </c>
      <c r="D49" s="14" t="str">
        <f t="shared" si="4"/>
        <v>Santos</v>
      </c>
      <c r="E49" s="14" t="s">
        <v>146</v>
      </c>
      <c r="F49" s="14" t="s">
        <v>26</v>
      </c>
      <c r="G49" s="14" t="s">
        <v>53</v>
      </c>
      <c r="H49" s="15"/>
      <c r="I49" s="16">
        <v>71</v>
      </c>
    </row>
    <row r="50" spans="1:9" ht="15.75">
      <c r="A50" s="4">
        <v>47</v>
      </c>
      <c r="B50" s="14" t="s">
        <v>147</v>
      </c>
      <c r="C50" s="14" t="str">
        <f t="shared" si="3"/>
        <v>Jaid</v>
      </c>
      <c r="D50" s="14" t="str">
        <f t="shared" si="4"/>
        <v>Lizarazo</v>
      </c>
      <c r="E50" s="14" t="s">
        <v>148</v>
      </c>
      <c r="F50" s="14" t="s">
        <v>26</v>
      </c>
      <c r="G50" s="14" t="s">
        <v>53</v>
      </c>
      <c r="H50" s="15"/>
      <c r="I50" s="16">
        <v>68</v>
      </c>
    </row>
    <row r="51" spans="1:9" ht="15.75">
      <c r="A51" s="4">
        <v>48</v>
      </c>
      <c r="B51" s="14" t="s">
        <v>78</v>
      </c>
      <c r="C51" s="14" t="str">
        <f t="shared" si="3"/>
        <v>Matthew</v>
      </c>
      <c r="D51" s="14" t="str">
        <f t="shared" si="4"/>
        <v>Roberts</v>
      </c>
      <c r="E51" s="14" t="s">
        <v>35</v>
      </c>
      <c r="F51" s="14" t="s">
        <v>26</v>
      </c>
      <c r="G51" s="14" t="s">
        <v>53</v>
      </c>
      <c r="H51" s="15"/>
      <c r="I51" s="16">
        <v>5</v>
      </c>
    </row>
    <row r="52" spans="1:9" ht="15.75">
      <c r="A52" s="4">
        <v>49</v>
      </c>
      <c r="B52" s="14" t="s">
        <v>59</v>
      </c>
      <c r="C52" s="14" t="str">
        <f>RIGHT(B52,LEN(B52)-SEARCH(" ",B52))</f>
        <v>Wendy</v>
      </c>
      <c r="D52" s="14" t="str">
        <f>LEFT(B52,LEN(B52)-LEN(C52)-2)</f>
        <v>Irik</v>
      </c>
      <c r="E52" s="14" t="s">
        <v>36</v>
      </c>
      <c r="F52" s="14" t="s">
        <v>27</v>
      </c>
      <c r="G52" s="14" t="s">
        <v>54</v>
      </c>
      <c r="H52" s="15"/>
      <c r="I52" s="16">
        <v>91</v>
      </c>
    </row>
    <row r="53" spans="1:9" ht="15.75">
      <c r="A53" s="4">
        <v>50</v>
      </c>
      <c r="B53" s="14" t="s">
        <v>76</v>
      </c>
      <c r="C53" s="14" t="str">
        <f>RIGHT(B53,LEN(B53)-SEARCH(" ",B53))</f>
        <v>Ruth</v>
      </c>
      <c r="D53" s="14" t="str">
        <f>LEFT(B53,LEN(B53)-LEN(C53)-2)</f>
        <v>Turnell</v>
      </c>
      <c r="E53" s="14" t="s">
        <v>31</v>
      </c>
      <c r="F53" s="14" t="s">
        <v>27</v>
      </c>
      <c r="G53" s="14" t="s">
        <v>53</v>
      </c>
      <c r="H53" s="15"/>
      <c r="I53" s="16">
        <v>5</v>
      </c>
    </row>
    <row r="54" spans="1:9" ht="15.75">
      <c r="A54" s="4">
        <v>51</v>
      </c>
      <c r="B54" s="14" t="s">
        <v>77</v>
      </c>
      <c r="C54" s="14" t="str">
        <f>RIGHT(B54,LEN(B54)-SEARCH(" ",B54))</f>
        <v>Anne</v>
      </c>
      <c r="D54" s="14" t="str">
        <f>LEFT(B54,LEN(B54)-LEN(C54)-2)</f>
        <v>Claro</v>
      </c>
      <c r="E54" s="14" t="s">
        <v>38</v>
      </c>
      <c r="F54" s="14" t="s">
        <v>27</v>
      </c>
      <c r="G54" s="14" t="s">
        <v>53</v>
      </c>
      <c r="H54" s="15"/>
      <c r="I54" s="16">
        <v>5</v>
      </c>
    </row>
  </sheetData>
  <sortState ref="A4:I51">
    <sortCondition descending="1" ref="G4:G51"/>
    <sortCondition ref="F4:F51"/>
    <sortCondition ref="B4:B5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B2:F55"/>
  <sheetViews>
    <sheetView topLeftCell="A10" zoomScale="90" zoomScaleNormal="90" workbookViewId="0">
      <selection activeCell="C39" sqref="C39"/>
    </sheetView>
  </sheetViews>
  <sheetFormatPr defaultRowHeight="15"/>
  <cols>
    <col min="3" max="3" width="66.85546875" bestFit="1" customWidth="1"/>
    <col min="6" max="6" width="19.85546875" bestFit="1" customWidth="1"/>
  </cols>
  <sheetData>
    <row r="2" spans="2:6" ht="15.75" thickBot="1">
      <c r="C2" s="131"/>
    </row>
    <row r="3" spans="2:6" ht="19.5" thickBot="1">
      <c r="B3" s="95" t="s">
        <v>79</v>
      </c>
      <c r="C3" s="114" t="s">
        <v>93</v>
      </c>
    </row>
    <row r="4" spans="2:6" ht="15.75">
      <c r="B4" s="96">
        <v>1</v>
      </c>
      <c r="C4" s="130" t="s">
        <v>104</v>
      </c>
      <c r="F4" s="111"/>
    </row>
    <row r="5" spans="2:6" ht="15.75">
      <c r="B5" s="97">
        <v>2</v>
      </c>
      <c r="C5" s="119" t="s">
        <v>62</v>
      </c>
      <c r="F5" s="111"/>
    </row>
    <row r="6" spans="2:6" ht="15.75">
      <c r="B6" s="96">
        <v>3</v>
      </c>
      <c r="C6" s="119" t="s">
        <v>60</v>
      </c>
      <c r="F6" s="111"/>
    </row>
    <row r="7" spans="2:6" ht="15.75">
      <c r="B7" s="97">
        <v>4</v>
      </c>
      <c r="C7" s="119" t="s">
        <v>63</v>
      </c>
      <c r="F7" s="111"/>
    </row>
    <row r="8" spans="2:6" ht="15.75">
      <c r="B8" s="96">
        <v>5</v>
      </c>
      <c r="C8" s="119" t="s">
        <v>118</v>
      </c>
      <c r="F8" s="111"/>
    </row>
    <row r="9" spans="2:6" ht="15.75">
      <c r="B9" s="97">
        <v>6</v>
      </c>
      <c r="C9" s="119" t="s">
        <v>123</v>
      </c>
      <c r="F9" s="111"/>
    </row>
    <row r="10" spans="2:6" ht="15.75">
      <c r="B10" s="96">
        <v>7</v>
      </c>
      <c r="C10" s="119" t="s">
        <v>57</v>
      </c>
      <c r="F10" s="111"/>
    </row>
    <row r="11" spans="2:6" ht="15.75">
      <c r="B11" s="97">
        <v>8</v>
      </c>
      <c r="C11" s="119" t="s">
        <v>120</v>
      </c>
      <c r="F11" s="111"/>
    </row>
    <row r="12" spans="2:6" ht="15.75">
      <c r="B12" s="96">
        <v>9</v>
      </c>
      <c r="C12" s="119" t="s">
        <v>61</v>
      </c>
      <c r="F12" s="111"/>
    </row>
    <row r="13" spans="2:6" ht="15.75">
      <c r="B13" s="97">
        <v>10</v>
      </c>
      <c r="C13" s="119" t="s">
        <v>106</v>
      </c>
      <c r="F13" s="111"/>
    </row>
    <row r="14" spans="2:6" ht="15.75">
      <c r="B14" s="96">
        <v>11</v>
      </c>
      <c r="C14" s="119" t="s">
        <v>125</v>
      </c>
      <c r="F14" s="111"/>
    </row>
    <row r="15" spans="2:6" ht="15.75">
      <c r="B15" s="97">
        <v>12</v>
      </c>
      <c r="C15" s="119" t="s">
        <v>58</v>
      </c>
      <c r="F15" s="111"/>
    </row>
    <row r="16" spans="2:6" ht="15.75">
      <c r="B16" s="96">
        <v>13</v>
      </c>
      <c r="C16" s="119" t="s">
        <v>56</v>
      </c>
      <c r="F16" s="111"/>
    </row>
    <row r="17" spans="2:6" ht="15.75">
      <c r="B17" s="97">
        <v>14</v>
      </c>
      <c r="C17" s="119" t="s">
        <v>127</v>
      </c>
      <c r="F17" s="111"/>
    </row>
    <row r="18" spans="2:6" ht="15.75">
      <c r="B18" s="96">
        <v>15</v>
      </c>
      <c r="C18" s="119" t="s">
        <v>95</v>
      </c>
      <c r="F18" s="111"/>
    </row>
    <row r="19" spans="2:6" ht="15.75">
      <c r="B19" s="97">
        <v>16</v>
      </c>
      <c r="C19" s="119" t="s">
        <v>129</v>
      </c>
      <c r="F19" s="111"/>
    </row>
    <row r="20" spans="2:6" ht="15.75">
      <c r="B20" s="96">
        <v>17</v>
      </c>
      <c r="C20" s="119" t="s">
        <v>131</v>
      </c>
      <c r="F20" s="111"/>
    </row>
    <row r="21" spans="2:6" ht="15.75">
      <c r="B21" s="97">
        <v>18</v>
      </c>
      <c r="C21" s="119" t="s">
        <v>65</v>
      </c>
      <c r="F21" s="111"/>
    </row>
    <row r="22" spans="2:6" ht="15.75">
      <c r="B22" s="96">
        <v>19</v>
      </c>
      <c r="C22" s="119" t="s">
        <v>67</v>
      </c>
      <c r="F22" s="111"/>
    </row>
    <row r="23" spans="2:6" ht="15.75">
      <c r="B23" s="97">
        <v>20</v>
      </c>
      <c r="C23" s="119" t="s">
        <v>133</v>
      </c>
      <c r="F23" s="111"/>
    </row>
    <row r="24" spans="2:6" ht="15.75">
      <c r="B24" s="96">
        <v>21</v>
      </c>
      <c r="C24" s="119" t="s">
        <v>135</v>
      </c>
      <c r="F24" s="111"/>
    </row>
    <row r="25" spans="2:6" ht="15.75">
      <c r="B25" s="97">
        <v>22</v>
      </c>
      <c r="C25" s="119" t="s">
        <v>137</v>
      </c>
      <c r="F25" s="111"/>
    </row>
    <row r="26" spans="2:6" ht="15.75">
      <c r="B26" s="96">
        <v>23</v>
      </c>
      <c r="C26" s="119" t="s">
        <v>66</v>
      </c>
      <c r="F26" s="111"/>
    </row>
    <row r="27" spans="2:6" ht="15.75">
      <c r="B27" s="97">
        <v>24</v>
      </c>
      <c r="C27" s="119" t="s">
        <v>139</v>
      </c>
      <c r="F27" s="111"/>
    </row>
    <row r="28" spans="2:6" ht="15.75">
      <c r="B28" s="96">
        <v>25</v>
      </c>
      <c r="C28" s="119" t="s">
        <v>114</v>
      </c>
    </row>
    <row r="29" spans="2:6" ht="15.75">
      <c r="B29" s="97">
        <v>26</v>
      </c>
      <c r="C29" s="119" t="s">
        <v>102</v>
      </c>
    </row>
    <row r="30" spans="2:6" ht="15.75">
      <c r="B30" s="96">
        <v>27</v>
      </c>
      <c r="C30" s="119" t="s">
        <v>68</v>
      </c>
    </row>
    <row r="31" spans="2:6" ht="15.75">
      <c r="B31" s="97">
        <v>28</v>
      </c>
      <c r="C31" s="119" t="s">
        <v>110</v>
      </c>
    </row>
    <row r="32" spans="2:6" ht="15.75">
      <c r="B32" s="96">
        <v>29</v>
      </c>
      <c r="C32" s="119" t="s">
        <v>74</v>
      </c>
    </row>
    <row r="33" spans="2:3" ht="15.75">
      <c r="B33" s="97">
        <v>30</v>
      </c>
      <c r="C33" s="119" t="s">
        <v>72</v>
      </c>
    </row>
    <row r="34" spans="2:3" ht="15.75">
      <c r="B34" s="96">
        <v>31</v>
      </c>
      <c r="C34" s="119" t="s">
        <v>147</v>
      </c>
    </row>
    <row r="35" spans="2:3" ht="15.75">
      <c r="B35" s="97">
        <v>32</v>
      </c>
      <c r="C35" s="119" t="s">
        <v>71</v>
      </c>
    </row>
    <row r="36" spans="2:3" ht="15.75">
      <c r="B36" s="96">
        <v>33</v>
      </c>
      <c r="C36" s="119" t="s">
        <v>149</v>
      </c>
    </row>
    <row r="37" spans="2:3" ht="15.75">
      <c r="B37" s="97">
        <v>34</v>
      </c>
      <c r="C37" s="119" t="s">
        <v>70</v>
      </c>
    </row>
    <row r="38" spans="2:3" ht="15.75">
      <c r="B38" s="96">
        <v>35</v>
      </c>
      <c r="C38" s="119" t="s">
        <v>141</v>
      </c>
    </row>
    <row r="39" spans="2:3" ht="15.75">
      <c r="B39" s="97">
        <v>36</v>
      </c>
      <c r="C39" s="119" t="s">
        <v>96</v>
      </c>
    </row>
    <row r="40" spans="2:3" ht="15.75">
      <c r="B40" s="96">
        <v>37</v>
      </c>
      <c r="C40" s="119"/>
    </row>
    <row r="41" spans="2:3" ht="15.75">
      <c r="B41" s="97">
        <v>38</v>
      </c>
      <c r="C41" s="119"/>
    </row>
    <row r="42" spans="2:3" ht="15.75">
      <c r="B42" s="96">
        <v>39</v>
      </c>
      <c r="C42" s="119"/>
    </row>
    <row r="43" spans="2:3" ht="15.75">
      <c r="B43" s="97">
        <v>40</v>
      </c>
      <c r="C43" s="119"/>
    </row>
    <row r="44" spans="2:3" ht="15.75">
      <c r="B44" s="96">
        <v>41</v>
      </c>
      <c r="C44" s="119"/>
    </row>
    <row r="45" spans="2:3" ht="15.75">
      <c r="B45" s="97">
        <v>42</v>
      </c>
      <c r="C45" s="119"/>
    </row>
    <row r="46" spans="2:3" ht="15.75">
      <c r="B46" s="96">
        <v>43</v>
      </c>
      <c r="C46" s="119"/>
    </row>
    <row r="47" spans="2:3" ht="15.75">
      <c r="B47" s="97">
        <v>44</v>
      </c>
      <c r="C47" s="119"/>
    </row>
    <row r="48" spans="2:3" ht="15.75">
      <c r="B48" s="96">
        <v>45</v>
      </c>
      <c r="C48" s="119"/>
    </row>
    <row r="49" spans="2:3" ht="15.75">
      <c r="B49" s="97">
        <v>46</v>
      </c>
      <c r="C49" s="119"/>
    </row>
    <row r="50" spans="2:3" ht="15.75">
      <c r="B50" s="96">
        <v>47</v>
      </c>
      <c r="C50" s="119"/>
    </row>
    <row r="51" spans="2:3" ht="15.75">
      <c r="B51" s="97">
        <v>48</v>
      </c>
      <c r="C51" s="119"/>
    </row>
    <row r="52" spans="2:3" ht="15.75">
      <c r="B52" s="96">
        <v>49</v>
      </c>
      <c r="C52" s="119"/>
    </row>
    <row r="53" spans="2:3" ht="15.75">
      <c r="B53" s="97">
        <v>50</v>
      </c>
      <c r="C53" s="119"/>
    </row>
    <row r="54" spans="2:3" ht="15.75">
      <c r="B54" s="96">
        <v>51</v>
      </c>
      <c r="C54" s="119"/>
    </row>
    <row r="55" spans="2:3" ht="16.5" thickBot="1">
      <c r="B55" s="98">
        <v>52</v>
      </c>
      <c r="C55" s="120"/>
    </row>
  </sheetData>
  <sheetProtection algorithmName="SHA-512" hashValue="CmDQ5evw5wCfAq/r/7aP0R2dbxsXErWi3mqEAuYrXgwnqdnP/AqX5VDr3yZa2fzdqGkY6CQPUo4VXz1ZNS2g7Q==" saltValue="e3xB5yK/iK2XlvKZkAPkEw==" spinCount="100000" sheet="1" objects="1" scenarios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2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13" sqref="H13"/>
    </sheetView>
  </sheetViews>
  <sheetFormatPr defaultRowHeight="15"/>
  <cols>
    <col min="1" max="1" width="6.28515625" customWidth="1"/>
    <col min="2" max="2" width="21.85546875" customWidth="1"/>
    <col min="3" max="3" width="15.85546875" customWidth="1"/>
    <col min="4" max="5" width="10.42578125" customWidth="1"/>
    <col min="6" max="8" width="12.85546875" customWidth="1"/>
    <col min="9" max="9" width="13.42578125" bestFit="1" customWidth="1"/>
  </cols>
  <sheetData>
    <row r="1" spans="1:11" ht="15.75">
      <c r="A1" s="22"/>
      <c r="B1" s="23"/>
      <c r="C1" s="24"/>
      <c r="D1" s="24"/>
      <c r="E1" s="24"/>
      <c r="F1" s="138" t="s">
        <v>90</v>
      </c>
      <c r="G1" s="138"/>
      <c r="H1" s="138"/>
      <c r="I1" s="139"/>
    </row>
    <row r="2" spans="1:11">
      <c r="A2" s="25" t="s">
        <v>79</v>
      </c>
      <c r="B2" s="100" t="s">
        <v>87</v>
      </c>
      <c r="C2" s="26" t="s">
        <v>29</v>
      </c>
      <c r="D2" s="26" t="s">
        <v>19</v>
      </c>
      <c r="E2" s="26" t="s">
        <v>25</v>
      </c>
      <c r="F2" s="26" t="s">
        <v>1</v>
      </c>
      <c r="G2" s="26" t="s">
        <v>21</v>
      </c>
      <c r="H2" s="26" t="s">
        <v>17</v>
      </c>
      <c r="I2" s="27" t="s">
        <v>22</v>
      </c>
      <c r="J2" s="12"/>
    </row>
    <row r="3" spans="1:11">
      <c r="A3" s="28">
        <v>1</v>
      </c>
      <c r="B3" s="99" t="str">
        <f>IF(VLOOKUP(A3,'START HERE'!$B$4:$C$55,2)=0,"",VLOOKUP(A3,'START HERE'!$B$4:$C$55,2))</f>
        <v>Campbell, Mary-Alice</v>
      </c>
      <c r="C3" s="18" t="str">
        <f>IF(B3="","",VLOOKUP(B3,'Master sheet - do not change'!$B$3:$I$51,4,))</f>
        <v>Mary-Alice</v>
      </c>
      <c r="D3" s="17">
        <f>IF(C3="","",VLOOKUP(B3,'Master sheet - do not change'!$B$3:$I$51,8,))</f>
        <v>70</v>
      </c>
      <c r="E3" s="17" t="str">
        <f>IF(B3="","",VLOOKUP(B3,'Master sheet - do not change'!$B$3:$I$51,5,))</f>
        <v>F</v>
      </c>
      <c r="F3" s="121"/>
      <c r="G3" s="122"/>
      <c r="H3" s="121">
        <v>3</v>
      </c>
      <c r="I3" s="123">
        <v>2</v>
      </c>
      <c r="K3" s="3"/>
    </row>
    <row r="4" spans="1:11">
      <c r="A4" s="28">
        <v>2</v>
      </c>
      <c r="B4" s="99" t="str">
        <f>IF(VLOOKUP(A4,'START HERE'!$B$4:$C$55,2)=0,"",VLOOKUP(A4,'START HERE'!$B$4:$C$55,2))</f>
        <v>Davies, Amanda</v>
      </c>
      <c r="C4" s="18" t="str">
        <f>IF(B4="","",VLOOKUP(B4,'Master sheet - do not change'!$B$3:$I$51,4,))</f>
        <v>Amanda D</v>
      </c>
      <c r="D4" s="17">
        <f>IF(C4="","",VLOOKUP(B4,'Master sheet - do not change'!$B$3:$I$51,8,))</f>
        <v>70</v>
      </c>
      <c r="E4" s="17" t="str">
        <f>IF(B4="","",VLOOKUP(B4,'Master sheet - do not change'!$B$3:$I$51,5,))</f>
        <v>F</v>
      </c>
      <c r="F4" s="122">
        <v>3</v>
      </c>
      <c r="G4" s="122"/>
      <c r="H4" s="122">
        <v>0</v>
      </c>
      <c r="I4" s="123">
        <v>3</v>
      </c>
      <c r="K4" s="3"/>
    </row>
    <row r="5" spans="1:11">
      <c r="A5" s="28">
        <v>3</v>
      </c>
      <c r="B5" s="99" t="str">
        <f>IF(VLOOKUP(A5,'START HERE'!$B$4:$C$55,2)=0,"",VLOOKUP(A5,'START HERE'!$B$4:$C$55,2))</f>
        <v>Finneran, Amanda</v>
      </c>
      <c r="C5" s="18" t="str">
        <f>IF(B5="","",VLOOKUP(B5,'Master sheet - do not change'!$B$3:$I$51,4,))</f>
        <v>Amanda F</v>
      </c>
      <c r="D5" s="17">
        <f>IF(C5="","",VLOOKUP(B5,'Master sheet - do not change'!$B$3:$I$51,8,))</f>
        <v>75</v>
      </c>
      <c r="E5" s="17" t="str">
        <f>IF(B5="","",VLOOKUP(B5,'Master sheet - do not change'!$B$3:$I$51,5,))</f>
        <v>F</v>
      </c>
      <c r="F5" s="121"/>
      <c r="G5" s="122"/>
      <c r="H5" s="121">
        <v>3</v>
      </c>
      <c r="I5" s="123">
        <v>3</v>
      </c>
      <c r="K5" s="3"/>
    </row>
    <row r="6" spans="1:11">
      <c r="A6" s="28">
        <v>4</v>
      </c>
      <c r="B6" s="99" t="str">
        <f>IF(VLOOKUP(A6,'START HERE'!$B$4:$C$55,2)=0,"",VLOOKUP(A6,'START HERE'!$B$4:$C$55,2))</f>
        <v>Ford, Helen</v>
      </c>
      <c r="C6" s="18" t="str">
        <f>IF(B6="","",VLOOKUP(B6,'Master sheet - do not change'!$B$3:$I$51,4,))</f>
        <v>Helen F</v>
      </c>
      <c r="D6" s="17">
        <f>IF(C6="","",VLOOKUP(B6,'Master sheet - do not change'!$B$3:$I$51,8,))</f>
        <v>55</v>
      </c>
      <c r="E6" s="17" t="str">
        <f>IF(B6="","",VLOOKUP(B6,'Master sheet - do not change'!$B$3:$I$51,5,))</f>
        <v>F</v>
      </c>
      <c r="F6" s="121" t="s">
        <v>86</v>
      </c>
      <c r="G6" s="122"/>
      <c r="H6" s="124"/>
      <c r="I6" s="125">
        <v>3</v>
      </c>
      <c r="K6" s="3"/>
    </row>
    <row r="7" spans="1:11">
      <c r="A7" s="28">
        <v>5</v>
      </c>
      <c r="B7" s="99" t="str">
        <f>IF(VLOOKUP(A7,'START HERE'!$B$4:$C$55,2)=0,"",VLOOKUP(A7,'START HERE'!$B$4:$C$55,2))</f>
        <v>Hallett, Victoria</v>
      </c>
      <c r="C7" s="18" t="str">
        <f>IF(B7="","",VLOOKUP(B7,'Master sheet - do not change'!$B$3:$I$51,4,))</f>
        <v>Victoria H</v>
      </c>
      <c r="D7" s="17">
        <f>IF(C7="","",VLOOKUP(B7,'Master sheet - do not change'!$B$3:$I$51,8,))</f>
        <v>58</v>
      </c>
      <c r="E7" s="17" t="str">
        <f>IF(B7="","",VLOOKUP(B7,'Master sheet - do not change'!$B$3:$I$51,5,))</f>
        <v>F</v>
      </c>
      <c r="F7" s="124">
        <v>3</v>
      </c>
      <c r="G7" s="122"/>
      <c r="H7" s="124"/>
      <c r="I7" s="123">
        <v>3</v>
      </c>
      <c r="K7" s="3"/>
    </row>
    <row r="8" spans="1:11">
      <c r="A8" s="28">
        <v>6</v>
      </c>
      <c r="B8" s="99" t="str">
        <f>IF(VLOOKUP(A8,'START HERE'!$B$4:$C$55,2)=0,"",VLOOKUP(A8,'START HERE'!$B$4:$C$55,2))</f>
        <v>Agudelo, Bibiana</v>
      </c>
      <c r="C8" s="18" t="str">
        <f>IF(B8="","",VLOOKUP(B8,'Master sheet - do not change'!$B$3:$I$51,4,))</f>
        <v>Bibiana A</v>
      </c>
      <c r="D8" s="17">
        <f>IF(C8="","",VLOOKUP(B8,'Master sheet - do not change'!$B$3:$I$51,8,))</f>
        <v>75</v>
      </c>
      <c r="E8" s="17" t="str">
        <f>IF(B8="","",VLOOKUP(B8,'Master sheet - do not change'!$B$3:$I$51,5,))</f>
        <v>F</v>
      </c>
      <c r="F8" s="121"/>
      <c r="G8" s="121"/>
      <c r="H8" s="121">
        <v>3</v>
      </c>
      <c r="I8" s="125">
        <v>3</v>
      </c>
      <c r="K8" s="3"/>
    </row>
    <row r="9" spans="1:11">
      <c r="A9" s="28">
        <v>7</v>
      </c>
      <c r="B9" s="99" t="str">
        <f>IF(VLOOKUP(A9,'START HERE'!$B$4:$C$55,2)=0,"",VLOOKUP(A9,'START HERE'!$B$4:$C$55,2))</f>
        <v>Hirst, Deb</v>
      </c>
      <c r="C9" s="18" t="str">
        <f>IF(B9="","",VLOOKUP(B9,'Master sheet - do not change'!$B$3:$I$51,4,))</f>
        <v>Deb H</v>
      </c>
      <c r="D9" s="17">
        <f>IF(C9="","",VLOOKUP(B9,'Master sheet - do not change'!$B$3:$I$51,8,))</f>
        <v>64</v>
      </c>
      <c r="E9" s="17" t="str">
        <f>IF(B9="","",VLOOKUP(B9,'Master sheet - do not change'!$B$3:$I$51,5,))</f>
        <v>F</v>
      </c>
      <c r="F9" s="122">
        <v>3</v>
      </c>
      <c r="G9" s="122"/>
      <c r="H9" s="122">
        <v>0</v>
      </c>
      <c r="I9" s="123">
        <v>3</v>
      </c>
      <c r="K9" s="3"/>
    </row>
    <row r="10" spans="1:11">
      <c r="A10" s="28">
        <v>8</v>
      </c>
      <c r="B10" s="99" t="str">
        <f>IF(VLOOKUP(A10,'START HERE'!$B$4:$C$55,2)=0,"",VLOOKUP(A10,'START HERE'!$B$4:$C$55,2))</f>
        <v>Hu, Yanhua</v>
      </c>
      <c r="C10" s="18" t="str">
        <f>IF(B10="","",VLOOKUP(B10,'Master sheet - do not change'!$B$3:$I$51,4,))</f>
        <v>Amy</v>
      </c>
      <c r="D10" s="17">
        <f>IF(C10="","",VLOOKUP(B10,'Master sheet - do not change'!$B$3:$I$51,8,))</f>
        <v>65</v>
      </c>
      <c r="E10" s="17" t="str">
        <f>IF(B10="","",VLOOKUP(B10,'Master sheet - do not change'!$B$3:$I$51,5,))</f>
        <v>F</v>
      </c>
      <c r="F10" s="122"/>
      <c r="G10" s="122"/>
      <c r="H10" s="122">
        <v>3</v>
      </c>
      <c r="I10" s="123">
        <v>3</v>
      </c>
      <c r="K10" s="3"/>
    </row>
    <row r="11" spans="1:11">
      <c r="A11" s="28">
        <v>9</v>
      </c>
      <c r="B11" s="99" t="str">
        <f>IF(VLOOKUP(A11,'START HERE'!$B$4:$C$55,2)=0,"",VLOOKUP(A11,'START HERE'!$B$4:$C$55,2))</f>
        <v>Kemp, Jocelyn</v>
      </c>
      <c r="C11" s="18" t="str">
        <f>IF(B11="","",VLOOKUP(B11,'Master sheet - do not change'!$B$3:$I$51,4,))</f>
        <v>Jocelyn K</v>
      </c>
      <c r="D11" s="17">
        <f>IF(C11="","",VLOOKUP(B11,'Master sheet - do not change'!$B$3:$I$51,8,))</f>
        <v>58</v>
      </c>
      <c r="E11" s="17" t="str">
        <f>IF(B11="","",VLOOKUP(B11,'Master sheet - do not change'!$B$3:$I$51,5,))</f>
        <v>F</v>
      </c>
      <c r="F11" s="124">
        <v>3</v>
      </c>
      <c r="G11" s="121"/>
      <c r="H11" s="124">
        <v>0</v>
      </c>
      <c r="I11" s="123">
        <v>3</v>
      </c>
      <c r="K11" s="3"/>
    </row>
    <row r="12" spans="1:11">
      <c r="A12" s="28">
        <v>10</v>
      </c>
      <c r="B12" s="99" t="str">
        <f>IF(VLOOKUP(A12,'START HERE'!$B$4:$C$55,2)=0,"",VLOOKUP(A12,'START HERE'!$B$4:$C$55,2))</f>
        <v>Murphy, Alison</v>
      </c>
      <c r="C12" s="18" t="str">
        <f>IF(B12="","",VLOOKUP(B12,'Master sheet - do not change'!$B$3:$I$51,4,))</f>
        <v>Alison M</v>
      </c>
      <c r="D12" s="17">
        <f>IF(C12="","",VLOOKUP(B12,'Master sheet - do not change'!$B$3:$I$51,8,))</f>
        <v>74</v>
      </c>
      <c r="E12" s="17" t="str">
        <f>IF(B12="","",VLOOKUP(B12,'Master sheet - do not change'!$B$3:$I$51,5,))</f>
        <v>F</v>
      </c>
      <c r="F12" s="122">
        <v>3</v>
      </c>
      <c r="G12" s="122"/>
      <c r="H12" s="122"/>
      <c r="I12" s="123">
        <v>3</v>
      </c>
      <c r="K12" s="3"/>
    </row>
    <row r="13" spans="1:11">
      <c r="A13" s="28">
        <v>11</v>
      </c>
      <c r="B13" s="99" t="str">
        <f>IF(VLOOKUP(A13,'START HERE'!$B$4:$C$55,2)=0,"",VLOOKUP(A13,'START HERE'!$B$4:$C$55,2))</f>
        <v>Angus, Janet</v>
      </c>
      <c r="C13" s="18" t="str">
        <f>IF(B13="","",VLOOKUP(B13,'Master sheet - do not change'!$B$3:$I$51,4,))</f>
        <v>Janet A</v>
      </c>
      <c r="D13" s="17">
        <f>IF(C13="","",VLOOKUP(B13,'Master sheet - do not change'!$B$3:$I$51,8,))</f>
        <v>74</v>
      </c>
      <c r="E13" s="17" t="str">
        <f>IF(B13="","",VLOOKUP(B13,'Master sheet - do not change'!$B$3:$I$51,5,))</f>
        <v>F</v>
      </c>
      <c r="F13" s="121">
        <v>2</v>
      </c>
      <c r="G13" s="122"/>
      <c r="H13" s="122"/>
      <c r="I13" s="125">
        <v>2</v>
      </c>
      <c r="K13" s="3"/>
    </row>
    <row r="14" spans="1:11">
      <c r="A14" s="28">
        <v>12</v>
      </c>
      <c r="B14" s="99" t="str">
        <f>IF(VLOOKUP(A14,'START HERE'!$B$4:$C$55,2)=0,"",VLOOKUP(A14,'START HERE'!$B$4:$C$55,2))</f>
        <v>Rennie, Sarah-Jane</v>
      </c>
      <c r="C14" s="18" t="str">
        <f>IF(B14="","",VLOOKUP(B14,'Master sheet - do not change'!$B$3:$I$51,4,))</f>
        <v>S-J</v>
      </c>
      <c r="D14" s="17">
        <f>IF(C14="","",VLOOKUP(B14,'Master sheet - do not change'!$B$3:$I$51,8,))</f>
        <v>62</v>
      </c>
      <c r="E14" s="17" t="str">
        <f>IF(B14="","",VLOOKUP(B14,'Master sheet - do not change'!$B$3:$I$51,5,))</f>
        <v>F</v>
      </c>
      <c r="F14" s="124" t="s">
        <v>18</v>
      </c>
      <c r="G14" s="122"/>
      <c r="H14" s="122">
        <v>0</v>
      </c>
      <c r="I14" s="123" t="s">
        <v>18</v>
      </c>
      <c r="K14" s="3"/>
    </row>
    <row r="15" spans="1:11">
      <c r="A15" s="28">
        <v>13</v>
      </c>
      <c r="B15" s="99" t="str">
        <f>IF(VLOOKUP(A15,'START HERE'!$B$4:$C$55,2)=0,"",VLOOKUP(A15,'START HERE'!$B$4:$C$55,2))</f>
        <v>Tolhurst, Sue</v>
      </c>
      <c r="C15" s="18" t="str">
        <f>IF(B15="","",VLOOKUP(B15,'Master sheet - do not change'!$B$3:$I$51,4,))</f>
        <v>Sue T</v>
      </c>
      <c r="D15" s="17">
        <f>IF(C15="","",VLOOKUP(B15,'Master sheet - do not change'!$B$3:$I$51,8,))</f>
        <v>63</v>
      </c>
      <c r="E15" s="17" t="str">
        <f>IF(B15="","",VLOOKUP(B15,'Master sheet - do not change'!$B$3:$I$51,5,))</f>
        <v>F</v>
      </c>
      <c r="F15" s="122"/>
      <c r="G15" s="122"/>
      <c r="H15" s="122" t="s">
        <v>86</v>
      </c>
      <c r="I15" s="123">
        <v>3</v>
      </c>
      <c r="K15" s="3"/>
    </row>
    <row r="16" spans="1:11">
      <c r="A16" s="28">
        <v>14</v>
      </c>
      <c r="B16" s="99" t="str">
        <f>IF(VLOOKUP(A16,'START HERE'!$B$4:$C$55,2)=0,"",VLOOKUP(A16,'START HERE'!$B$4:$C$55,2))</f>
        <v>Bauzon, Ma Divina Angela</v>
      </c>
      <c r="C16" s="18" t="str">
        <f>IF(B16="","",VLOOKUP(B16,'Master sheet - do not change'!$B$3:$I$51,4,))</f>
        <v>Divina</v>
      </c>
      <c r="D16" s="17">
        <f>IF(C16="","",VLOOKUP(B16,'Master sheet - do not change'!$B$3:$I$51,8,))</f>
        <v>54</v>
      </c>
      <c r="E16" s="17" t="str">
        <f>IF(B16="","",VLOOKUP(B16,'Master sheet - do not change'!$B$3:$I$51,5,))</f>
        <v>F</v>
      </c>
      <c r="F16" s="122">
        <v>2</v>
      </c>
      <c r="G16" s="122"/>
      <c r="H16" s="122"/>
      <c r="I16" s="123">
        <v>3</v>
      </c>
      <c r="K16" s="3"/>
    </row>
    <row r="17" spans="1:11">
      <c r="A17" s="28">
        <v>15</v>
      </c>
      <c r="B17" s="99" t="str">
        <f>IF(VLOOKUP(A17,'START HERE'!$B$4:$C$55,2)=0,"",VLOOKUP(A17,'START HERE'!$B$4:$C$55,2))</f>
        <v>Cheok, Alice</v>
      </c>
      <c r="C17" s="18" t="str">
        <f>IF(B17="","",VLOOKUP(B17,'Master sheet - do not change'!$B$3:$I$51,4,))</f>
        <v>Alice C</v>
      </c>
      <c r="D17" s="17">
        <f>IF(C17="","",VLOOKUP(B17,'Master sheet - do not change'!$B$3:$I$51,8,))</f>
        <v>58</v>
      </c>
      <c r="E17" s="17" t="str">
        <f>IF(B17="","",VLOOKUP(B17,'Master sheet - do not change'!$B$3:$I$51,5,))</f>
        <v>F</v>
      </c>
      <c r="F17" s="122">
        <v>2</v>
      </c>
      <c r="G17" s="122"/>
      <c r="H17" s="122"/>
      <c r="I17" s="123">
        <v>3</v>
      </c>
      <c r="K17" s="3"/>
    </row>
    <row r="18" spans="1:11">
      <c r="A18" s="28">
        <v>16</v>
      </c>
      <c r="B18" s="99" t="str">
        <f>IF(VLOOKUP(A18,'START HERE'!$B$4:$C$55,2)=0,"",VLOOKUP(A18,'START HERE'!$B$4:$C$55,2))</f>
        <v>Chiu, Miu</v>
      </c>
      <c r="C18" s="18" t="str">
        <f>IF(B18="","",VLOOKUP(B18,'Master sheet - do not change'!$B$3:$I$51,4,))</f>
        <v>Miu</v>
      </c>
      <c r="D18" s="17">
        <f>IF(C18="","",VLOOKUP(B18,'Master sheet - do not change'!$B$3:$I$51,8,))</f>
        <v>52</v>
      </c>
      <c r="E18" s="17" t="str">
        <f>IF(B18="","",VLOOKUP(B18,'Master sheet - do not change'!$B$3:$I$51,5,))</f>
        <v>F</v>
      </c>
      <c r="F18" s="122">
        <v>3</v>
      </c>
      <c r="G18" s="122"/>
      <c r="H18" s="121"/>
      <c r="I18" s="123">
        <v>3</v>
      </c>
      <c r="K18" s="3"/>
    </row>
    <row r="19" spans="1:11">
      <c r="A19" s="28">
        <v>17</v>
      </c>
      <c r="B19" s="99" t="str">
        <f>IF(VLOOKUP(A19,'START HERE'!$B$4:$C$55,2)=0,"",VLOOKUP(A19,'START HERE'!$B$4:$C$55,2))</f>
        <v>Dobner, Anne-Marie</v>
      </c>
      <c r="C19" s="18" t="str">
        <f>IF(B19="","",VLOOKUP(B19,'Master sheet - do not change'!$B$3:$I$51,4,))</f>
        <v>Anne-Marie</v>
      </c>
      <c r="D19" s="17">
        <f>IF(C19="","",VLOOKUP(B19,'Master sheet - do not change'!$B$3:$I$51,8,))</f>
        <v>67</v>
      </c>
      <c r="E19" s="17" t="str">
        <f>IF(B19="","",VLOOKUP(B19,'Master sheet - do not change'!$B$3:$I$51,5,))</f>
        <v>F</v>
      </c>
      <c r="F19" s="122"/>
      <c r="G19" s="122"/>
      <c r="H19" s="122">
        <v>3</v>
      </c>
      <c r="I19" s="123">
        <v>3</v>
      </c>
      <c r="K19" s="3"/>
    </row>
    <row r="20" spans="1:11">
      <c r="A20" s="28">
        <v>18</v>
      </c>
      <c r="B20" s="99" t="str">
        <f>IF(VLOOKUP(A20,'START HERE'!$B$4:$C$55,2)=0,"",VLOOKUP(A20,'START HERE'!$B$4:$C$55,2))</f>
        <v>Hasapis, Leah</v>
      </c>
      <c r="C20" s="18" t="str">
        <f>IF(B20="","",VLOOKUP(B20,'Master sheet - do not change'!$B$3:$I$51,4,))</f>
        <v>Leah H</v>
      </c>
      <c r="D20" s="17">
        <f>IF(C20="","",VLOOKUP(B20,'Master sheet - do not change'!$B$3:$I$51,8,))</f>
        <v>73</v>
      </c>
      <c r="E20" s="17" t="str">
        <f>IF(B20="","",VLOOKUP(B20,'Master sheet - do not change'!$B$3:$I$51,5,))</f>
        <v>F</v>
      </c>
      <c r="F20" s="122">
        <v>2</v>
      </c>
      <c r="G20" s="122"/>
      <c r="H20" s="122"/>
      <c r="I20" s="123">
        <v>3</v>
      </c>
      <c r="K20" s="3"/>
    </row>
    <row r="21" spans="1:11">
      <c r="A21" s="28">
        <v>19</v>
      </c>
      <c r="B21" s="99" t="str">
        <f>IF(VLOOKUP(A21,'START HERE'!$B$4:$C$55,2)=0,"",VLOOKUP(A21,'START HERE'!$B$4:$C$55,2))</f>
        <v>Holt, Rachael</v>
      </c>
      <c r="C21" s="18" t="str">
        <f>IF(B21="","",VLOOKUP(B21,'Master sheet - do not change'!$B$3:$I$51,4,))</f>
        <v>Rachael H</v>
      </c>
      <c r="D21" s="17">
        <f>IF(C21="","",VLOOKUP(B21,'Master sheet - do not change'!$B$3:$I$51,8,))</f>
        <v>85</v>
      </c>
      <c r="E21" s="17" t="str">
        <f>IF(B21="","",VLOOKUP(B21,'Master sheet - do not change'!$B$3:$I$51,5,))</f>
        <v>F</v>
      </c>
      <c r="F21" s="122"/>
      <c r="G21" s="122"/>
      <c r="H21" s="122">
        <v>3</v>
      </c>
      <c r="I21" s="123">
        <v>2</v>
      </c>
      <c r="K21" s="3"/>
    </row>
    <row r="22" spans="1:11">
      <c r="A22" s="28">
        <v>20</v>
      </c>
      <c r="B22" s="99" t="str">
        <f>IF(VLOOKUP(A22,'START HERE'!$B$4:$C$55,2)=0,"",VLOOKUP(A22,'START HERE'!$B$4:$C$55,2))</f>
        <v>McKenna, Elizabeth</v>
      </c>
      <c r="C22" s="18" t="str">
        <f>IF(B22="","",VLOOKUP(B22,'Master sheet - do not change'!$B$3:$I$51,4,))</f>
        <v>Liz Mc</v>
      </c>
      <c r="D22" s="17">
        <f>IF(C22="","",VLOOKUP(B22,'Master sheet - do not change'!$B$3:$I$51,8,))</f>
        <v>64</v>
      </c>
      <c r="E22" s="17" t="str">
        <f>IF(B22="","",VLOOKUP(B22,'Master sheet - do not change'!$B$3:$I$51,5,))</f>
        <v>F</v>
      </c>
      <c r="F22" s="122"/>
      <c r="G22" s="122"/>
      <c r="H22" s="122">
        <v>3</v>
      </c>
      <c r="I22" s="123">
        <v>3</v>
      </c>
      <c r="K22" s="3"/>
    </row>
    <row r="23" spans="1:11">
      <c r="A23" s="28">
        <v>21</v>
      </c>
      <c r="B23" s="99" t="str">
        <f>IF(VLOOKUP(A23,'START HERE'!$B$4:$C$55,2)=0,"",VLOOKUP(A23,'START HERE'!$B$4:$C$55,2))</f>
        <v>Rai, Rohini</v>
      </c>
      <c r="C23" s="18" t="str">
        <f>IF(B23="","",VLOOKUP(B23,'Master sheet - do not change'!$B$3:$I$51,4,))</f>
        <v>Rohini</v>
      </c>
      <c r="D23" s="17">
        <f>IF(C23="","",VLOOKUP(B23,'Master sheet - do not change'!$B$3:$I$51,8,))</f>
        <v>70</v>
      </c>
      <c r="E23" s="17" t="str">
        <f>IF(B23="","",VLOOKUP(B23,'Master sheet - do not change'!$B$3:$I$51,5,))</f>
        <v>F</v>
      </c>
      <c r="F23" s="122">
        <v>3</v>
      </c>
      <c r="G23" s="122"/>
      <c r="H23" s="122"/>
      <c r="I23" s="123">
        <v>3</v>
      </c>
    </row>
    <row r="24" spans="1:11">
      <c r="A24" s="28">
        <v>22</v>
      </c>
      <c r="B24" s="99" t="str">
        <f>IF(VLOOKUP(A24,'START HERE'!$B$4:$C$55,2)=0,"",VLOOKUP(A24,'START HERE'!$B$4:$C$55,2))</f>
        <v>Steel, Alice</v>
      </c>
      <c r="C24" s="18" t="str">
        <f>IF(B24="","",VLOOKUP(B24,'Master sheet - do not change'!$B$3:$I$51,4,))</f>
        <v>Alice S</v>
      </c>
      <c r="D24" s="17">
        <f>IF(C24="","",VLOOKUP(B24,'Master sheet - do not change'!$B$3:$I$51,8,))</f>
        <v>47</v>
      </c>
      <c r="E24" s="17" t="str">
        <f>IF(B24="","",VLOOKUP(B24,'Master sheet - do not change'!$B$3:$I$51,5,))</f>
        <v>F</v>
      </c>
      <c r="F24" s="122"/>
      <c r="G24" s="122"/>
      <c r="H24" s="122">
        <v>3</v>
      </c>
      <c r="I24" s="123" t="s">
        <v>86</v>
      </c>
    </row>
    <row r="25" spans="1:11">
      <c r="A25" s="28">
        <v>23</v>
      </c>
      <c r="B25" s="99" t="str">
        <f>IF(VLOOKUP(A25,'START HERE'!$B$4:$C$55,2)=0,"",VLOOKUP(A25,'START HERE'!$B$4:$C$55,2))</f>
        <v>Constantinou, Lianna</v>
      </c>
      <c r="C25" s="18" t="str">
        <f>IF(B25="","",VLOOKUP(B25,'Master sheet - do not change'!$B$3:$I$51,4,))</f>
        <v>Lianna C</v>
      </c>
      <c r="D25" s="17">
        <f>IF(C25="","",VLOOKUP(B25,'Master sheet - do not change'!$B$3:$I$51,8,))</f>
        <v>71</v>
      </c>
      <c r="E25" s="17" t="str">
        <f>IF(B25="","",VLOOKUP(B25,'Master sheet - do not change'!$B$3:$I$51,5,))</f>
        <v>F</v>
      </c>
      <c r="F25" s="122">
        <v>3</v>
      </c>
      <c r="G25" s="121"/>
      <c r="H25" s="122"/>
      <c r="I25" s="123">
        <v>3</v>
      </c>
    </row>
    <row r="26" spans="1:11">
      <c r="A26" s="28">
        <v>24</v>
      </c>
      <c r="B26" s="99" t="str">
        <f>IF(VLOOKUP(A26,'START HERE'!$B$4:$C$55,2)=0,"",VLOOKUP(A26,'START HERE'!$B$4:$C$55,2))</f>
        <v>Hemming, Michael</v>
      </c>
      <c r="C26" s="18" t="str">
        <f>IF(B26="","",VLOOKUP(B26,'Master sheet - do not change'!$B$3:$I$51,4,))</f>
        <v>Michael H</v>
      </c>
      <c r="D26" s="17">
        <f>IF(C26="","",VLOOKUP(B26,'Master sheet - do not change'!$B$3:$I$51,8,))</f>
        <v>82</v>
      </c>
      <c r="E26" s="17" t="str">
        <f>IF(B26="","",VLOOKUP(B26,'Master sheet - do not change'!$B$3:$I$51,5,))</f>
        <v>M</v>
      </c>
      <c r="F26" s="122">
        <v>2</v>
      </c>
      <c r="G26" s="122"/>
      <c r="H26" s="122">
        <v>3</v>
      </c>
      <c r="I26" s="123"/>
    </row>
    <row r="27" spans="1:11">
      <c r="A27" s="28">
        <v>25</v>
      </c>
      <c r="B27" s="99" t="str">
        <f>IF(VLOOKUP(A27,'START HERE'!$B$4:$C$55,2)=0,"",VLOOKUP(A27,'START HERE'!$B$4:$C$55,2))</f>
        <v>Boerma, Andrew</v>
      </c>
      <c r="C27" s="18" t="str">
        <f>IF(B27="","",VLOOKUP(B27,'Master sheet - do not change'!$B$3:$I$51,4,))</f>
        <v>Andrew B</v>
      </c>
      <c r="D27" s="17">
        <f>IF(C27="","",VLOOKUP(B27,'Master sheet - do not change'!$B$3:$I$51,8,))</f>
        <v>75</v>
      </c>
      <c r="E27" s="17" t="str">
        <f>IF(B27="","",VLOOKUP(B27,'Master sheet - do not change'!$B$3:$I$51,5,))</f>
        <v>M</v>
      </c>
      <c r="F27" s="122">
        <v>3</v>
      </c>
      <c r="G27" s="122"/>
      <c r="H27" s="122">
        <v>3</v>
      </c>
      <c r="I27" s="123"/>
    </row>
    <row r="28" spans="1:11">
      <c r="A28" s="28">
        <v>26</v>
      </c>
      <c r="B28" s="99" t="str">
        <f>IF(VLOOKUP(A28,'START HERE'!$B$4:$C$55,2)=0,"",VLOOKUP(A28,'START HERE'!$B$4:$C$55,2))</f>
        <v>Escalona, Diego</v>
      </c>
      <c r="C28" s="18" t="str">
        <f>IF(B28="","",VLOOKUP(B28,'Master sheet - do not change'!$B$3:$I$51,4,))</f>
        <v>Diego E</v>
      </c>
      <c r="D28" s="17">
        <f>IF(C28="","",VLOOKUP(B28,'Master sheet - do not change'!$B$3:$I$51,8,))</f>
        <v>84</v>
      </c>
      <c r="E28" s="17" t="str">
        <f>IF(B28="","",VLOOKUP(B28,'Master sheet - do not change'!$B$3:$I$51,5,))</f>
        <v>M</v>
      </c>
      <c r="F28" s="122">
        <v>3</v>
      </c>
      <c r="G28" s="122"/>
      <c r="H28" s="122">
        <v>3</v>
      </c>
      <c r="I28" s="123"/>
    </row>
    <row r="29" spans="1:11">
      <c r="A29" s="28">
        <v>27</v>
      </c>
      <c r="B29" s="99" t="str">
        <f>IF(VLOOKUP(A29,'START HERE'!$B$4:$C$55,2)=0,"",VLOOKUP(A29,'START HERE'!$B$4:$C$55,2))</f>
        <v>Freke, Simon</v>
      </c>
      <c r="C29" s="18" t="str">
        <f>IF(B29="","",VLOOKUP(B29,'Master sheet - do not change'!$B$3:$I$51,4,))</f>
        <v>Simon F</v>
      </c>
      <c r="D29" s="17">
        <f>IF(C29="","",VLOOKUP(B29,'Master sheet - do not change'!$B$3:$I$51,8,))</f>
        <v>64</v>
      </c>
      <c r="E29" s="17" t="str">
        <f>IF(B29="","",VLOOKUP(B29,'Master sheet - do not change'!$B$3:$I$51,5,))</f>
        <v>M</v>
      </c>
      <c r="F29" s="19">
        <v>2</v>
      </c>
      <c r="G29" s="19"/>
      <c r="H29" s="19">
        <v>3</v>
      </c>
      <c r="I29" s="109"/>
    </row>
    <row r="30" spans="1:11">
      <c r="A30" s="28">
        <v>28</v>
      </c>
      <c r="B30" s="99" t="str">
        <f>IF(VLOOKUP(A30,'START HERE'!$B$4:$C$55,2)=0,"",VLOOKUP(A30,'START HERE'!$B$4:$C$55,2))</f>
        <v>Harris, Andrew</v>
      </c>
      <c r="C30" s="18" t="str">
        <f>IF(B30="","",VLOOKUP(B30,'Master sheet - do not change'!$B$3:$I$51,4,))</f>
        <v>Andrew H</v>
      </c>
      <c r="D30" s="17">
        <f>IF(C30="","",VLOOKUP(B30,'Master sheet - do not change'!$B$3:$I$51,8,))</f>
        <v>77</v>
      </c>
      <c r="E30" s="17" t="str">
        <f>IF(B30="","",VLOOKUP(B30,'Master sheet - do not change'!$B$3:$I$51,5,))</f>
        <v>M</v>
      </c>
      <c r="F30" s="19">
        <v>2</v>
      </c>
      <c r="G30" s="19"/>
      <c r="H30" s="19">
        <v>3</v>
      </c>
      <c r="I30" s="109"/>
    </row>
    <row r="31" spans="1:11">
      <c r="A31" s="28">
        <v>29</v>
      </c>
      <c r="B31" s="99" t="str">
        <f>IF(VLOOKUP(A31,'START HERE'!$B$4:$C$55,2)=0,"",VLOOKUP(A31,'START HERE'!$B$4:$C$55,2))</f>
        <v>Haupt, Detlef</v>
      </c>
      <c r="C31" s="18" t="str">
        <f>IF(B31="","",VLOOKUP(B31,'Master sheet - do not change'!$B$3:$I$51,4,))</f>
        <v>Detlef H</v>
      </c>
      <c r="D31" s="17">
        <f>IF(C31="","",VLOOKUP(B31,'Master sheet - do not change'!$B$3:$I$51,8,))</f>
        <v>90</v>
      </c>
      <c r="E31" s="17" t="str">
        <f>IF(B31="","",VLOOKUP(B31,'Master sheet - do not change'!$B$3:$I$51,5,))</f>
        <v>M</v>
      </c>
      <c r="F31" s="19">
        <v>2</v>
      </c>
      <c r="G31" s="19"/>
      <c r="H31" s="19">
        <v>3</v>
      </c>
      <c r="I31" s="109"/>
    </row>
    <row r="32" spans="1:11">
      <c r="A32" s="28">
        <v>30</v>
      </c>
      <c r="B32" s="99" t="str">
        <f>IF(VLOOKUP(A32,'START HERE'!$B$4:$C$55,2)=0,"",VLOOKUP(A32,'START HERE'!$B$4:$C$55,2))</f>
        <v>Jeffree, Paul</v>
      </c>
      <c r="C32" s="18" t="str">
        <f>IF(B32="","",VLOOKUP(B32,'Master sheet - do not change'!$B$3:$I$51,4,))</f>
        <v>Paul J</v>
      </c>
      <c r="D32" s="17">
        <f>IF(C32="","",VLOOKUP(B32,'Master sheet - do not change'!$B$3:$I$51,8,))</f>
        <v>91</v>
      </c>
      <c r="E32" s="17" t="str">
        <f>IF(B32="","",VLOOKUP(B32,'Master sheet - do not change'!$B$3:$I$51,5,))</f>
        <v>M</v>
      </c>
      <c r="F32" s="19">
        <v>3</v>
      </c>
      <c r="G32" s="19"/>
      <c r="H32" s="19">
        <v>3</v>
      </c>
      <c r="I32" s="109"/>
    </row>
    <row r="33" spans="1:9">
      <c r="A33" s="28">
        <v>31</v>
      </c>
      <c r="B33" s="99" t="str">
        <f>IF(VLOOKUP(A33,'START HERE'!$B$4:$C$55,2)=0,"",VLOOKUP(A33,'START HERE'!$B$4:$C$55,2))</f>
        <v>Lizarazo, Jaid</v>
      </c>
      <c r="C33" s="18" t="str">
        <f>IF(B33="","",VLOOKUP(B33,'Master sheet - do not change'!$B$3:$I$51,4,))</f>
        <v>Jaid</v>
      </c>
      <c r="D33" s="17">
        <f>IF(C33="","",VLOOKUP(B33,'Master sheet - do not change'!$B$3:$I$51,8,))</f>
        <v>68</v>
      </c>
      <c r="E33" s="17" t="str">
        <f>IF(B33="","",VLOOKUP(B33,'Master sheet - do not change'!$B$3:$I$51,5,))</f>
        <v>M</v>
      </c>
      <c r="F33" s="19">
        <v>3</v>
      </c>
      <c r="G33" s="19"/>
      <c r="H33" s="19">
        <v>3</v>
      </c>
      <c r="I33" s="109"/>
    </row>
    <row r="34" spans="1:9">
      <c r="A34" s="28">
        <v>32</v>
      </c>
      <c r="B34" s="99" t="str">
        <f>IF(VLOOKUP(A34,'START HERE'!$B$4:$C$55,2)=0,"",VLOOKUP(A34,'START HERE'!$B$4:$C$55,2))</f>
        <v>Ramrakha, Kiran</v>
      </c>
      <c r="C34" s="18" t="str">
        <f>IF(B34="","",VLOOKUP(B34,'Master sheet - do not change'!$B$3:$I$51,4,))</f>
        <v>Kiran R</v>
      </c>
      <c r="D34" s="17">
        <f>IF(C34="","",VLOOKUP(B34,'Master sheet - do not change'!$B$3:$I$51,8,))</f>
        <v>95</v>
      </c>
      <c r="E34" s="17" t="str">
        <f>IF(B34="","",VLOOKUP(B34,'Master sheet - do not change'!$B$3:$I$51,5,))</f>
        <v>M</v>
      </c>
      <c r="F34" s="19">
        <v>2</v>
      </c>
      <c r="G34" s="19"/>
      <c r="H34" s="19">
        <v>3</v>
      </c>
      <c r="I34" s="109"/>
    </row>
    <row r="35" spans="1:9">
      <c r="A35" s="28">
        <v>33</v>
      </c>
      <c r="B35" s="99" t="str">
        <f>IF(VLOOKUP(A35,'START HERE'!$B$4:$C$55,2)=0,"",VLOOKUP(A35,'START HERE'!$B$4:$C$55,2))</f>
        <v>Santos, marc Ericson</v>
      </c>
      <c r="C35" s="18" t="str">
        <f>IF(B35="","",VLOOKUP(B35,'Master sheet - do not change'!$B$3:$I$51,4,))</f>
        <v>Marc</v>
      </c>
      <c r="D35" s="17">
        <f>IF(C35="","",VLOOKUP(B35,'Master sheet - do not change'!$B$3:$I$51,8,))</f>
        <v>71</v>
      </c>
      <c r="E35" s="17" t="str">
        <f>IF(B35="","",VLOOKUP(B35,'Master sheet - do not change'!$B$3:$I$51,5,))</f>
        <v>M</v>
      </c>
      <c r="F35" s="19">
        <v>3</v>
      </c>
      <c r="G35" s="19"/>
      <c r="H35" s="19">
        <v>3</v>
      </c>
      <c r="I35" s="109"/>
    </row>
    <row r="36" spans="1:9">
      <c r="A36" s="28">
        <v>34</v>
      </c>
      <c r="B36" s="99" t="str">
        <f>IF(VLOOKUP(A36,'START HERE'!$B$4:$C$55,2)=0,"",VLOOKUP(A36,'START HERE'!$B$4:$C$55,2))</f>
        <v>Valouch, Petr</v>
      </c>
      <c r="C36" s="18" t="str">
        <f>IF(B36="","",VLOOKUP(B36,'Master sheet - do not change'!$B$3:$I$51,4,))</f>
        <v>Petr V</v>
      </c>
      <c r="D36" s="17">
        <f>IF(C36="","",VLOOKUP(B36,'Master sheet - do not change'!$B$3:$I$51,8,))</f>
        <v>73</v>
      </c>
      <c r="E36" s="17" t="str">
        <f>IF(B36="","",VLOOKUP(B36,'Master sheet - do not change'!$B$3:$I$51,5,))</f>
        <v>M</v>
      </c>
      <c r="F36" s="19"/>
      <c r="G36" s="19"/>
      <c r="H36" s="19" t="s">
        <v>18</v>
      </c>
      <c r="I36" s="109"/>
    </row>
    <row r="37" spans="1:9">
      <c r="A37" s="28">
        <v>35</v>
      </c>
      <c r="B37" s="99" t="str">
        <f>IF(VLOOKUP(A37,'START HERE'!$B$4:$C$55,2)=0,"",VLOOKUP(A37,'START HERE'!$B$4:$C$55,2))</f>
        <v>Van Laeren, Richard</v>
      </c>
      <c r="C37" s="18" t="str">
        <f>IF(B37="","",VLOOKUP(B37,'Master sheet - do not change'!$B$3:$I$51,4,))</f>
        <v>Richard V</v>
      </c>
      <c r="D37" s="17">
        <f>IF(C37="","",VLOOKUP(B37,'Master sheet - do not change'!$B$3:$I$51,8,))</f>
        <v>90</v>
      </c>
      <c r="E37" s="17" t="str">
        <f>IF(B37="","",VLOOKUP(B37,'Master sheet - do not change'!$B$3:$I$51,5,))</f>
        <v>M</v>
      </c>
      <c r="F37" s="19">
        <v>2</v>
      </c>
      <c r="G37" s="19"/>
      <c r="H37" s="19">
        <v>3</v>
      </c>
      <c r="I37" s="109"/>
    </row>
    <row r="38" spans="1:9">
      <c r="A38" s="28">
        <v>36</v>
      </c>
      <c r="B38" s="99" t="str">
        <f>IF(VLOOKUP(A38,'START HERE'!$B$4:$C$55,2)=0,"",VLOOKUP(A38,'START HERE'!$B$4:$C$55,2))</f>
        <v>Moro, Andrea</v>
      </c>
      <c r="C38" s="18" t="str">
        <f>IF(B38="","",VLOOKUP(B38,'Master sheet - do not change'!$B$3:$I$51,4,))</f>
        <v>Andrea M</v>
      </c>
      <c r="D38" s="17">
        <f>IF(C38="","",VLOOKUP(B38,'Master sheet - do not change'!$B$3:$I$51,8,))</f>
        <v>65</v>
      </c>
      <c r="E38" s="17" t="str">
        <f>IF(B38="","",VLOOKUP(B38,'Master sheet - do not change'!$B$3:$I$51,5,))</f>
        <v>M</v>
      </c>
      <c r="F38" s="19">
        <v>3</v>
      </c>
      <c r="G38" s="19"/>
      <c r="H38" s="19">
        <v>3</v>
      </c>
      <c r="I38" s="109"/>
    </row>
    <row r="39" spans="1:9">
      <c r="A39" s="28">
        <v>37</v>
      </c>
      <c r="B39" s="99" t="str">
        <f>IF(VLOOKUP(A39,'START HERE'!$B$4:$C$55,2)=0,"",VLOOKUP(A39,'START HERE'!$B$4:$C$55,2))</f>
        <v/>
      </c>
      <c r="C39" s="18" t="str">
        <f>IF(B39="","",VLOOKUP(B39,'Master sheet - do not change'!$B$3:$I$51,4,))</f>
        <v/>
      </c>
      <c r="D39" s="17" t="str">
        <f>IF(C39="","",VLOOKUP(B39,'Master sheet - do not change'!$B$3:$I$51,8,))</f>
        <v/>
      </c>
      <c r="E39" s="17" t="str">
        <f>IF(B39="","",VLOOKUP(B39,'Master sheet - do not change'!$B$3:$I$51,5,))</f>
        <v/>
      </c>
      <c r="F39" s="19"/>
      <c r="G39" s="19"/>
      <c r="H39" s="19"/>
      <c r="I39" s="109"/>
    </row>
    <row r="40" spans="1:9">
      <c r="A40" s="28">
        <v>38</v>
      </c>
      <c r="B40" s="99" t="str">
        <f>IF(VLOOKUP(A40,'START HERE'!$B$4:$C$55,2)=0,"",VLOOKUP(A40,'START HERE'!$B$4:$C$55,2))</f>
        <v/>
      </c>
      <c r="C40" s="18" t="str">
        <f>IF(B40="","",VLOOKUP(B40,'Master sheet - do not change'!$B$3:$I$51,4,))</f>
        <v/>
      </c>
      <c r="D40" s="17" t="str">
        <f>IF(C40="","",VLOOKUP(B40,'Master sheet - do not change'!$B$3:$I$51,8,))</f>
        <v/>
      </c>
      <c r="E40" s="17" t="str">
        <f>IF(B40="","",VLOOKUP(B40,'Master sheet - do not change'!$B$3:$I$51,5,))</f>
        <v/>
      </c>
      <c r="F40" s="19"/>
      <c r="G40" s="19"/>
      <c r="H40" s="19"/>
      <c r="I40" s="109"/>
    </row>
    <row r="41" spans="1:9">
      <c r="A41" s="28">
        <v>39</v>
      </c>
      <c r="B41" s="99" t="str">
        <f>IF(VLOOKUP(A41,'START HERE'!$B$4:$C$55,2)=0,"",VLOOKUP(A41,'START HERE'!$B$4:$C$55,2))</f>
        <v/>
      </c>
      <c r="C41" s="18" t="str">
        <f>IF(B41="","",VLOOKUP(B41,'Master sheet - do not change'!$B$3:$I$51,4,))</f>
        <v/>
      </c>
      <c r="D41" s="17" t="str">
        <f>IF(C41="","",VLOOKUP(B41,'Master sheet - do not change'!$B$3:$I$51,8,))</f>
        <v/>
      </c>
      <c r="E41" s="17" t="str">
        <f>IF(B41="","",VLOOKUP(B41,'Master sheet - do not change'!$B$3:$I$51,5,))</f>
        <v/>
      </c>
      <c r="F41" s="19"/>
      <c r="G41" s="19"/>
      <c r="H41" s="19"/>
      <c r="I41" s="109"/>
    </row>
    <row r="42" spans="1:9">
      <c r="A42" s="28">
        <v>40</v>
      </c>
      <c r="B42" s="99" t="str">
        <f>IF(VLOOKUP(A42,'START HERE'!$B$4:$C$55,2)=0,"",VLOOKUP(A42,'START HERE'!$B$4:$C$55,2))</f>
        <v/>
      </c>
      <c r="C42" s="18" t="str">
        <f>IF(B42="","",VLOOKUP(B42,'Master sheet - do not change'!$B$3:$I$51,4,))</f>
        <v/>
      </c>
      <c r="D42" s="17" t="str">
        <f>IF(C42="","",VLOOKUP(B42,'Master sheet - do not change'!$B$3:$I$51,8,))</f>
        <v/>
      </c>
      <c r="E42" s="17" t="str">
        <f>IF(B42="","",VLOOKUP(B42,'Master sheet - do not change'!$B$3:$I$51,5,))</f>
        <v/>
      </c>
      <c r="F42" s="19"/>
      <c r="G42" s="19"/>
      <c r="H42" s="19"/>
      <c r="I42" s="109"/>
    </row>
    <row r="43" spans="1:9">
      <c r="A43" s="28">
        <v>41</v>
      </c>
      <c r="B43" s="99" t="str">
        <f>IF(VLOOKUP(A43,'START HERE'!$B$4:$C$55,2)=0,"",VLOOKUP(A43,'START HERE'!$B$4:$C$55,2))</f>
        <v/>
      </c>
      <c r="C43" s="18" t="str">
        <f>IF(B43="","",VLOOKUP(B43,'Master sheet - do not change'!$B$3:$I$51,4,))</f>
        <v/>
      </c>
      <c r="D43" s="17" t="str">
        <f>IF(C43="","",VLOOKUP(B43,'Master sheet - do not change'!$B$3:$I$51,8,))</f>
        <v/>
      </c>
      <c r="E43" s="17" t="str">
        <f>IF(B43="","",VLOOKUP(B43,'Master sheet - do not change'!$B$3:$I$51,5,))</f>
        <v/>
      </c>
      <c r="F43" s="19"/>
      <c r="G43" s="19"/>
      <c r="H43" s="19"/>
      <c r="I43" s="109"/>
    </row>
    <row r="44" spans="1:9">
      <c r="A44" s="28">
        <v>42</v>
      </c>
      <c r="B44" s="99" t="str">
        <f>IF(VLOOKUP(A44,'START HERE'!$B$4:$C$55,2)=0,"",VLOOKUP(A44,'START HERE'!$B$4:$C$55,2))</f>
        <v/>
      </c>
      <c r="C44" s="18" t="str">
        <f>IF(B44="","",VLOOKUP(B44,'Master sheet - do not change'!$B$3:$I$51,4,))</f>
        <v/>
      </c>
      <c r="D44" s="17" t="str">
        <f>IF(C44="","",VLOOKUP(B44,'Master sheet - do not change'!$B$3:$I$51,8,))</f>
        <v/>
      </c>
      <c r="E44" s="17" t="str">
        <f>IF(B44="","",VLOOKUP(B44,'Master sheet - do not change'!$B$3:$I$51,5,))</f>
        <v/>
      </c>
      <c r="F44" s="19"/>
      <c r="G44" s="19"/>
      <c r="H44" s="19"/>
      <c r="I44" s="109"/>
    </row>
    <row r="45" spans="1:9">
      <c r="A45" s="28">
        <v>43</v>
      </c>
      <c r="B45" s="99" t="str">
        <f>IF(VLOOKUP(A45,'START HERE'!$B$4:$C$55,2)=0,"",VLOOKUP(A45,'START HERE'!$B$4:$C$55,2))</f>
        <v/>
      </c>
      <c r="C45" s="18" t="str">
        <f>IF(B45="","",VLOOKUP(B45,'Master sheet - do not change'!$B$3:$I$51,4,))</f>
        <v/>
      </c>
      <c r="D45" s="17" t="str">
        <f>IF(C45="","",VLOOKUP(B45,'Master sheet - do not change'!$B$3:$I$51,8,))</f>
        <v/>
      </c>
      <c r="E45" s="17" t="str">
        <f>IF(B45="","",VLOOKUP(B45,'Master sheet - do not change'!$B$3:$I$51,5,))</f>
        <v/>
      </c>
      <c r="F45" s="19"/>
      <c r="G45" s="19"/>
      <c r="H45" s="19"/>
      <c r="I45" s="109"/>
    </row>
    <row r="46" spans="1:9">
      <c r="A46" s="28">
        <v>44</v>
      </c>
      <c r="B46" s="99" t="str">
        <f>IF(VLOOKUP(A46,'START HERE'!$B$4:$C$55,2)=0,"",VLOOKUP(A46,'START HERE'!$B$4:$C$55,2))</f>
        <v/>
      </c>
      <c r="C46" s="18" t="str">
        <f>IF(B46="","",VLOOKUP(B46,'Master sheet - do not change'!$B$3:$I$51,4,))</f>
        <v/>
      </c>
      <c r="D46" s="17" t="str">
        <f>IF(C46="","",VLOOKUP(B46,'Master sheet - do not change'!$B$3:$I$51,8,))</f>
        <v/>
      </c>
      <c r="E46" s="17" t="str">
        <f>IF(B46="","",VLOOKUP(B46,'Master sheet - do not change'!$B$3:$I$51,5,))</f>
        <v/>
      </c>
      <c r="F46" s="19"/>
      <c r="G46" s="19"/>
      <c r="H46" s="19"/>
      <c r="I46" s="109"/>
    </row>
    <row r="47" spans="1:9">
      <c r="A47" s="28">
        <v>45</v>
      </c>
      <c r="B47" s="99" t="str">
        <f>IF(VLOOKUP(A47,'START HERE'!$B$4:$C$55,2)=0,"",VLOOKUP(A47,'START HERE'!$B$4:$C$55,2))</f>
        <v/>
      </c>
      <c r="C47" s="18" t="str">
        <f>IF(B47="","",VLOOKUP(B47,'Master sheet - do not change'!$B$3:$I$51,4,))</f>
        <v/>
      </c>
      <c r="D47" s="17" t="str">
        <f>IF(C47="","",VLOOKUP(B47,'Master sheet - do not change'!$B$3:$I$51,8,))</f>
        <v/>
      </c>
      <c r="E47" s="17" t="str">
        <f>IF(B47="","",VLOOKUP(B47,'Master sheet - do not change'!$B$3:$I$51,5,))</f>
        <v/>
      </c>
      <c r="F47" s="19"/>
      <c r="G47" s="19"/>
      <c r="H47" s="19"/>
      <c r="I47" s="109"/>
    </row>
    <row r="48" spans="1:9">
      <c r="A48" s="140" t="s">
        <v>80</v>
      </c>
      <c r="B48" s="141"/>
      <c r="C48" s="141"/>
      <c r="D48" s="141"/>
      <c r="E48" s="20"/>
      <c r="F48" s="21">
        <f>COUNTIFS(E3:E47,"F",F3:F47,"&gt;0")</f>
        <v>12</v>
      </c>
      <c r="G48" s="21">
        <f>COUNTIFS(E3:E47,"F",G3:G47,"&gt;0")</f>
        <v>0</v>
      </c>
      <c r="H48" s="21">
        <f>COUNTIFS(E3:E47,"F",H3:H47,"&gt;0")</f>
        <v>8</v>
      </c>
      <c r="I48" s="29">
        <f>COUNTIFS(E3:E47,"F",I3:I47,"&gt;0")</f>
        <v>21</v>
      </c>
    </row>
    <row r="49" spans="1:9">
      <c r="A49" s="142" t="s">
        <v>81</v>
      </c>
      <c r="B49" s="143"/>
      <c r="C49" s="143"/>
      <c r="D49" s="143"/>
      <c r="E49" s="20"/>
      <c r="F49" s="21">
        <f>COUNTIFS(E3:E47,"M",F3:F47,"&gt;0")</f>
        <v>12</v>
      </c>
      <c r="G49" s="21">
        <f>COUNTIFS(E3:E47,"M",G3:G47,"&gt;0")</f>
        <v>0</v>
      </c>
      <c r="H49" s="21">
        <f>COUNTIFS(E3:E47,"M",H3:H47,"&gt;0")</f>
        <v>12</v>
      </c>
      <c r="I49" s="110">
        <f t="shared" ref="I49" si="0">COUNTIFS(H3:H47,"M",I3:I47,"&gt;0")</f>
        <v>0</v>
      </c>
    </row>
    <row r="50" spans="1:9">
      <c r="A50" s="142" t="s">
        <v>82</v>
      </c>
      <c r="B50" s="143"/>
      <c r="C50" s="143"/>
      <c r="D50" s="143"/>
      <c r="E50" s="20"/>
      <c r="F50" s="21">
        <f>COUNTIF(F3:F47,"*")</f>
        <v>2</v>
      </c>
      <c r="G50" s="21">
        <f t="shared" ref="G50:I50" si="1">COUNTIF(G3:G47,"*")</f>
        <v>0</v>
      </c>
      <c r="H50" s="21">
        <f t="shared" si="1"/>
        <v>2</v>
      </c>
      <c r="I50" s="29">
        <f t="shared" si="1"/>
        <v>2</v>
      </c>
    </row>
    <row r="51" spans="1:9" ht="15.75">
      <c r="A51" s="144" t="s">
        <v>88</v>
      </c>
      <c r="B51" s="145"/>
      <c r="C51" s="145"/>
      <c r="D51" s="145"/>
      <c r="E51" s="20"/>
      <c r="F51" s="102">
        <f>SUM(F3:F47)</f>
        <v>62</v>
      </c>
      <c r="G51" s="102">
        <f>SUM(G3:G47)</f>
        <v>0</v>
      </c>
      <c r="H51" s="102">
        <f>SUM(H3:H47)</f>
        <v>60</v>
      </c>
      <c r="I51" s="103">
        <f>SUM(I3:I47)</f>
        <v>60</v>
      </c>
    </row>
    <row r="52" spans="1:9" ht="15.75" thickBot="1">
      <c r="A52" s="136" t="s">
        <v>89</v>
      </c>
      <c r="B52" s="137"/>
      <c r="C52" s="137"/>
      <c r="D52" s="137"/>
      <c r="E52" s="101"/>
      <c r="F52" s="104">
        <f>COUNT(F3:F47)+F50</f>
        <v>26</v>
      </c>
      <c r="G52" s="104">
        <f t="shared" ref="G52:I52" si="2">COUNT(G3:G47)+G50</f>
        <v>0</v>
      </c>
      <c r="H52" s="104">
        <f t="shared" si="2"/>
        <v>26</v>
      </c>
      <c r="I52" s="105">
        <f t="shared" si="2"/>
        <v>23</v>
      </c>
    </row>
  </sheetData>
  <mergeCells count="6">
    <mergeCell ref="A52:D52"/>
    <mergeCell ref="F1:I1"/>
    <mergeCell ref="A48:D48"/>
    <mergeCell ref="A49:D49"/>
    <mergeCell ref="A50:D50"/>
    <mergeCell ref="A51:D51"/>
  </mergeCells>
  <conditionalFormatting sqref="F3:I47">
    <cfRule type="containsText" dxfId="9" priority="3" operator="containsText" text="sweep">
      <formula>NOT(ISERROR(SEARCH("sweep",F3)))</formula>
    </cfRule>
    <cfRule type="containsText" dxfId="8" priority="4" operator="containsText" text="drum">
      <formula>NOT(ISERROR(SEARCH("drum",F3)))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V66"/>
  <sheetViews>
    <sheetView showGridLines="0" topLeftCell="E25" zoomScale="110" zoomScaleNormal="110" workbookViewId="0">
      <selection activeCell="G29" sqref="G29"/>
    </sheetView>
  </sheetViews>
  <sheetFormatPr defaultColWidth="8.85546875" defaultRowHeight="15" customHeight="1"/>
  <cols>
    <col min="1" max="1" width="4.5703125" style="1" customWidth="1"/>
    <col min="2" max="2" width="24.140625" style="1" customWidth="1"/>
    <col min="3" max="3" width="7.5703125" style="1" bestFit="1" customWidth="1"/>
    <col min="4" max="4" width="9.5703125" style="1" bestFit="1" customWidth="1"/>
    <col min="5" max="256" width="8.85546875" style="1" customWidth="1"/>
  </cols>
  <sheetData>
    <row r="1" spans="1:256" ht="1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</row>
    <row r="2" spans="1:256" ht="15" customHeight="1">
      <c r="A2" s="2"/>
      <c r="B2" s="2"/>
      <c r="C2" s="2"/>
      <c r="D2" s="2"/>
      <c r="E2" s="2"/>
      <c r="F2" s="41"/>
      <c r="G2" s="150" t="s">
        <v>83</v>
      </c>
      <c r="H2" s="150"/>
      <c r="I2" s="150"/>
      <c r="J2" s="150"/>
      <c r="K2" s="150"/>
      <c r="L2" s="150"/>
      <c r="M2" s="150"/>
      <c r="N2" s="150"/>
      <c r="O2" s="150"/>
      <c r="P2" s="150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</row>
    <row r="3" spans="1:256" ht="15" customHeight="1">
      <c r="A3" s="108" t="s">
        <v>79</v>
      </c>
      <c r="B3" s="30" t="s">
        <v>0</v>
      </c>
      <c r="C3" s="31" t="s">
        <v>19</v>
      </c>
      <c r="D3" s="31" t="s">
        <v>1</v>
      </c>
      <c r="E3" s="2"/>
      <c r="F3" s="44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2"/>
      <c r="R3" s="2"/>
      <c r="S3" s="2"/>
      <c r="T3" s="2"/>
      <c r="U3" s="2"/>
      <c r="V3" s="2"/>
      <c r="W3" s="2"/>
    </row>
    <row r="4" spans="1:256" ht="16.5" customHeight="1" thickBot="1">
      <c r="A4" s="6">
        <v>1</v>
      </c>
      <c r="B4" s="7" t="str">
        <f>IF(Allocation!F3="","",VLOOKUP(A4,Allocation!$A$2:$I$47,3))</f>
        <v/>
      </c>
      <c r="C4" s="6" t="str">
        <f>IF(B4="","",VLOOKUP(A4,Allocation!$A$2:$I$47,4,))</f>
        <v/>
      </c>
      <c r="D4" s="6" t="str">
        <f>IF(B4="","",VLOOKUP(A4,Allocation!$A$2:$I$47,6,))</f>
        <v/>
      </c>
      <c r="E4" s="2"/>
      <c r="F4" s="43" t="s">
        <v>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56" ht="15.75" customHeight="1">
      <c r="A5" s="6">
        <v>2</v>
      </c>
      <c r="B5" s="7" t="str">
        <f>IF(Allocation!F4="","",VLOOKUP(A5,Allocation!$A$2:$I$47,3))</f>
        <v>Amanda D</v>
      </c>
      <c r="C5" s="6">
        <f>IF(B5="","",VLOOKUP(A5,Allocation!$A$2:$I$47,4,))</f>
        <v>70</v>
      </c>
      <c r="D5" s="6">
        <f>IF(B5="","",VLOOKUP(A5,Allocation!$A$2:$I$47,6,))</f>
        <v>3</v>
      </c>
      <c r="E5" s="2"/>
      <c r="F5" s="32"/>
      <c r="G5" s="126" t="s">
        <v>41</v>
      </c>
      <c r="H5" s="39">
        <f>IF(G5="","",VLOOKUP(G5,$B$4:$C$48,2,))</f>
        <v>55</v>
      </c>
      <c r="I5" s="33"/>
      <c r="J5" s="2"/>
      <c r="K5" s="59"/>
      <c r="L5" s="60" t="s">
        <v>3</v>
      </c>
      <c r="M5" s="61" t="s">
        <v>4</v>
      </c>
      <c r="N5" s="61" t="s">
        <v>5</v>
      </c>
      <c r="O5" s="60" t="s">
        <v>3</v>
      </c>
      <c r="P5" s="62"/>
      <c r="Q5" s="62"/>
      <c r="R5" s="62"/>
      <c r="S5" s="62"/>
      <c r="T5" s="63">
        <f>H5+14</f>
        <v>69</v>
      </c>
      <c r="U5" s="63">
        <v>6</v>
      </c>
      <c r="V5" s="64">
        <f t="shared" ref="V5:V16" si="0">(U5)/6</f>
        <v>1</v>
      </c>
      <c r="W5" s="65">
        <f t="shared" ref="W5:W16" si="1">V5*T5</f>
        <v>69</v>
      </c>
      <c r="X5" s="44"/>
    </row>
    <row r="6" spans="1:256" ht="15" customHeight="1">
      <c r="A6" s="6">
        <v>3</v>
      </c>
      <c r="B6" s="7" t="str">
        <f>IF(Allocation!F5="","",VLOOKUP(A6,Allocation!$A$2:$I$47,3))</f>
        <v/>
      </c>
      <c r="C6" s="6" t="str">
        <f>IF(B6="","",VLOOKUP(A6,Allocation!$A$2:$I$47,4,))</f>
        <v/>
      </c>
      <c r="D6" s="6" t="str">
        <f>IF(B6="","",VLOOKUP(A6,Allocation!$A$2:$I$47,6,))</f>
        <v/>
      </c>
      <c r="E6" s="2"/>
      <c r="F6" s="37">
        <f>IF(G6="","",VLOOKUP(G6,$B$4:$C$48,2,))</f>
        <v>71</v>
      </c>
      <c r="G6" s="127" t="s">
        <v>46</v>
      </c>
      <c r="H6" s="127" t="s">
        <v>103</v>
      </c>
      <c r="I6" s="38">
        <f>IF(H6="","",VLOOKUP(H6,$B$4:$C$48,2,))</f>
        <v>84</v>
      </c>
      <c r="J6" s="2"/>
      <c r="K6" s="66">
        <v>1</v>
      </c>
      <c r="L6" s="56">
        <f t="shared" ref="L6:L15" si="2">F6</f>
        <v>71</v>
      </c>
      <c r="M6" s="57" t="str">
        <f t="shared" ref="M6:M15" si="3">G6</f>
        <v>Lianna C</v>
      </c>
      <c r="N6" s="57" t="str">
        <f t="shared" ref="N6:N15" si="4">H6</f>
        <v>Diego E</v>
      </c>
      <c r="O6" s="56">
        <f t="shared" ref="O6:O15" si="5">I6</f>
        <v>84</v>
      </c>
      <c r="P6" s="58">
        <f t="shared" ref="P6:P16" si="6">O6-L6</f>
        <v>13</v>
      </c>
      <c r="Q6" s="54">
        <v>300</v>
      </c>
      <c r="R6" s="55">
        <f t="shared" ref="R6:R16" si="7">Q6/350</f>
        <v>0.8571428571428571</v>
      </c>
      <c r="S6" s="55">
        <f t="shared" ref="S6:S16" si="8">P6*R6</f>
        <v>11.142857142857142</v>
      </c>
      <c r="T6" s="54">
        <f t="shared" ref="T6:T15" si="9">L6+O6</f>
        <v>155</v>
      </c>
      <c r="U6" s="54">
        <v>4.5</v>
      </c>
      <c r="V6" s="55">
        <f t="shared" si="0"/>
        <v>0.75</v>
      </c>
      <c r="W6" s="67">
        <f t="shared" si="1"/>
        <v>116.25</v>
      </c>
      <c r="X6" s="44"/>
    </row>
    <row r="7" spans="1:256" ht="15" customHeight="1">
      <c r="A7" s="6">
        <v>4</v>
      </c>
      <c r="B7" s="7" t="str">
        <f>IF(Allocation!F6="","",VLOOKUP(A7,Allocation!$A$2:$I$47,3))</f>
        <v>Helen F</v>
      </c>
      <c r="C7" s="6">
        <f>IF(B7="","",VLOOKUP(A7,Allocation!$A$2:$I$47,4,))</f>
        <v>55</v>
      </c>
      <c r="D7" s="6" t="str">
        <f>IF(B7="","",VLOOKUP(A7,Allocation!$A$2:$I$47,6,))</f>
        <v>Drum</v>
      </c>
      <c r="E7" s="2"/>
      <c r="F7" s="37">
        <f t="shared" ref="F7:F15" si="10">IF(G7="","",VLOOKUP(G7,$B$4:$C$48,2,))</f>
        <v>64</v>
      </c>
      <c r="G7" s="127" t="s">
        <v>34</v>
      </c>
      <c r="H7" s="127" t="s">
        <v>40</v>
      </c>
      <c r="I7" s="38">
        <f t="shared" ref="I7:I15" si="11">IF(H7="","",VLOOKUP(H7,$B$4:$C$48,2,))</f>
        <v>70</v>
      </c>
      <c r="J7" s="2"/>
      <c r="K7" s="66">
        <v>2</v>
      </c>
      <c r="L7" s="56">
        <f t="shared" si="2"/>
        <v>64</v>
      </c>
      <c r="M7" s="57" t="str">
        <f t="shared" si="3"/>
        <v>Deb H</v>
      </c>
      <c r="N7" s="57" t="str">
        <f t="shared" si="4"/>
        <v>Amanda D</v>
      </c>
      <c r="O7" s="56">
        <f t="shared" si="5"/>
        <v>70</v>
      </c>
      <c r="P7" s="58">
        <f t="shared" si="6"/>
        <v>6</v>
      </c>
      <c r="Q7" s="54">
        <v>330</v>
      </c>
      <c r="R7" s="55">
        <f t="shared" si="7"/>
        <v>0.94285714285714284</v>
      </c>
      <c r="S7" s="55">
        <f t="shared" si="8"/>
        <v>5.6571428571428566</v>
      </c>
      <c r="T7" s="54">
        <f t="shared" si="9"/>
        <v>134</v>
      </c>
      <c r="U7" s="54">
        <v>3.5</v>
      </c>
      <c r="V7" s="55">
        <f t="shared" si="0"/>
        <v>0.58333333333333337</v>
      </c>
      <c r="W7" s="67">
        <f t="shared" si="1"/>
        <v>78.166666666666671</v>
      </c>
      <c r="X7" s="44"/>
    </row>
    <row r="8" spans="1:256" ht="15" customHeight="1">
      <c r="A8" s="6">
        <v>5</v>
      </c>
      <c r="B8" s="7" t="str">
        <f>IF(Allocation!F7="","",VLOOKUP(A8,Allocation!$A$2:$I$47,3))</f>
        <v>Victoria H</v>
      </c>
      <c r="C8" s="6">
        <f>IF(B8="","",VLOOKUP(A8,Allocation!$A$2:$I$47,4,))</f>
        <v>58</v>
      </c>
      <c r="D8" s="6">
        <f>IF(B8="","",VLOOKUP(A8,Allocation!$A$2:$I$47,6,))</f>
        <v>3</v>
      </c>
      <c r="E8" s="2"/>
      <c r="F8" s="37">
        <f t="shared" si="10"/>
        <v>65</v>
      </c>
      <c r="G8" s="127" t="s">
        <v>99</v>
      </c>
      <c r="H8" s="127" t="s">
        <v>119</v>
      </c>
      <c r="I8" s="38">
        <f t="shared" si="11"/>
        <v>58</v>
      </c>
      <c r="J8" s="2"/>
      <c r="K8" s="66">
        <v>3</v>
      </c>
      <c r="L8" s="56">
        <f t="shared" si="2"/>
        <v>65</v>
      </c>
      <c r="M8" s="57" t="str">
        <f t="shared" si="3"/>
        <v>Andrea M</v>
      </c>
      <c r="N8" s="57" t="str">
        <f t="shared" si="4"/>
        <v>Victoria H</v>
      </c>
      <c r="O8" s="56">
        <f t="shared" si="5"/>
        <v>58</v>
      </c>
      <c r="P8" s="58">
        <f t="shared" si="6"/>
        <v>-7</v>
      </c>
      <c r="Q8" s="54">
        <v>350</v>
      </c>
      <c r="R8" s="55">
        <f t="shared" si="7"/>
        <v>1</v>
      </c>
      <c r="S8" s="55">
        <f t="shared" si="8"/>
        <v>-7</v>
      </c>
      <c r="T8" s="54">
        <f t="shared" si="9"/>
        <v>123</v>
      </c>
      <c r="U8" s="54">
        <v>2.5</v>
      </c>
      <c r="V8" s="55">
        <f t="shared" si="0"/>
        <v>0.41666666666666669</v>
      </c>
      <c r="W8" s="67">
        <f t="shared" si="1"/>
        <v>51.25</v>
      </c>
      <c r="X8" s="44"/>
    </row>
    <row r="9" spans="1:256" ht="15" customHeight="1">
      <c r="A9" s="6">
        <v>6</v>
      </c>
      <c r="B9" s="7" t="str">
        <f>IF(Allocation!F8="","",VLOOKUP(A9,Allocation!$A$2:$I$47,3))</f>
        <v/>
      </c>
      <c r="C9" s="6" t="str">
        <f>IF(B9="","",VLOOKUP(A9,Allocation!$A$2:$I$47,4,))</f>
        <v/>
      </c>
      <c r="D9" s="6" t="str">
        <f>IF(B9="","",VLOOKUP(A9,Allocation!$A$2:$I$47,6,))</f>
        <v/>
      </c>
      <c r="E9" s="2"/>
      <c r="F9" s="37">
        <f t="shared" si="10"/>
        <v>75</v>
      </c>
      <c r="G9" s="127" t="s">
        <v>115</v>
      </c>
      <c r="H9" s="127" t="s">
        <v>48</v>
      </c>
      <c r="I9" s="38">
        <f t="shared" si="11"/>
        <v>91</v>
      </c>
      <c r="J9" s="2"/>
      <c r="K9" s="66">
        <v>4</v>
      </c>
      <c r="L9" s="56">
        <f t="shared" si="2"/>
        <v>75</v>
      </c>
      <c r="M9" s="57" t="str">
        <f t="shared" si="3"/>
        <v>Andrew B</v>
      </c>
      <c r="N9" s="57" t="str">
        <f t="shared" si="4"/>
        <v>Paul J</v>
      </c>
      <c r="O9" s="56">
        <f t="shared" si="5"/>
        <v>91</v>
      </c>
      <c r="P9" s="58">
        <f t="shared" si="6"/>
        <v>16</v>
      </c>
      <c r="Q9" s="54">
        <v>350</v>
      </c>
      <c r="R9" s="55">
        <f t="shared" si="7"/>
        <v>1</v>
      </c>
      <c r="S9" s="55">
        <f t="shared" si="8"/>
        <v>16</v>
      </c>
      <c r="T9" s="54">
        <f t="shared" si="9"/>
        <v>166</v>
      </c>
      <c r="U9" s="54">
        <v>1.5</v>
      </c>
      <c r="V9" s="55">
        <f t="shared" si="0"/>
        <v>0.25</v>
      </c>
      <c r="W9" s="67">
        <f t="shared" si="1"/>
        <v>41.5</v>
      </c>
      <c r="X9" s="44"/>
    </row>
    <row r="10" spans="1:256" ht="15" customHeight="1">
      <c r="A10" s="6">
        <v>7</v>
      </c>
      <c r="B10" s="7" t="str">
        <f>IF(Allocation!F9="","",VLOOKUP(A10,Allocation!$A$2:$I$47,3))</f>
        <v>Deb H</v>
      </c>
      <c r="C10" s="6">
        <f>IF(B10="","",VLOOKUP(A10,Allocation!$A$2:$I$47,4,))</f>
        <v>64</v>
      </c>
      <c r="D10" s="6">
        <f>IF(B10="","",VLOOKUP(A10,Allocation!$A$2:$I$47,6,))</f>
        <v>3</v>
      </c>
      <c r="E10" s="2"/>
      <c r="F10" s="37">
        <f t="shared" si="10"/>
        <v>74</v>
      </c>
      <c r="G10" s="127" t="s">
        <v>107</v>
      </c>
      <c r="H10" s="127" t="s">
        <v>130</v>
      </c>
      <c r="I10" s="38">
        <f t="shared" si="11"/>
        <v>52</v>
      </c>
      <c r="J10" s="2"/>
      <c r="K10" s="66">
        <v>5</v>
      </c>
      <c r="L10" s="56">
        <f t="shared" si="2"/>
        <v>74</v>
      </c>
      <c r="M10" s="57" t="str">
        <f t="shared" si="3"/>
        <v>Alison M</v>
      </c>
      <c r="N10" s="57" t="str">
        <f t="shared" si="4"/>
        <v>Miu</v>
      </c>
      <c r="O10" s="56">
        <f t="shared" si="5"/>
        <v>52</v>
      </c>
      <c r="P10" s="58">
        <f t="shared" si="6"/>
        <v>-22</v>
      </c>
      <c r="Q10" s="54">
        <v>350</v>
      </c>
      <c r="R10" s="55">
        <f t="shared" si="7"/>
        <v>1</v>
      </c>
      <c r="S10" s="55">
        <f t="shared" si="8"/>
        <v>-22</v>
      </c>
      <c r="T10" s="54">
        <f t="shared" si="9"/>
        <v>126</v>
      </c>
      <c r="U10" s="54">
        <v>0.5</v>
      </c>
      <c r="V10" s="55">
        <f t="shared" si="0"/>
        <v>8.3333333333333329E-2</v>
      </c>
      <c r="W10" s="67">
        <f t="shared" si="1"/>
        <v>10.5</v>
      </c>
      <c r="X10" s="44"/>
    </row>
    <row r="11" spans="1:256" ht="15" customHeight="1">
      <c r="A11" s="6">
        <v>8</v>
      </c>
      <c r="B11" s="7" t="str">
        <f>IF(Allocation!F10="","",VLOOKUP(A11,Allocation!$A$2:$I$47,3))</f>
        <v/>
      </c>
      <c r="C11" s="6" t="str">
        <f>IF(B11="","",VLOOKUP(A11,Allocation!$A$2:$I$47,4,))</f>
        <v/>
      </c>
      <c r="D11" s="6" t="str">
        <f>IF(B11="","",VLOOKUP(A11,Allocation!$A$2:$I$47,6,))</f>
        <v/>
      </c>
      <c r="E11" s="2"/>
      <c r="F11" s="37">
        <f t="shared" si="10"/>
        <v>73</v>
      </c>
      <c r="G11" s="127" t="s">
        <v>45</v>
      </c>
      <c r="H11" s="127" t="s">
        <v>111</v>
      </c>
      <c r="I11" s="38">
        <f t="shared" si="11"/>
        <v>77</v>
      </c>
      <c r="J11" s="2"/>
      <c r="K11" s="66">
        <v>6</v>
      </c>
      <c r="L11" s="56">
        <f t="shared" si="2"/>
        <v>73</v>
      </c>
      <c r="M11" s="57" t="str">
        <f t="shared" si="3"/>
        <v>Leah H</v>
      </c>
      <c r="N11" s="57" t="str">
        <f t="shared" si="4"/>
        <v>Andrew H</v>
      </c>
      <c r="O11" s="56">
        <f t="shared" si="5"/>
        <v>77</v>
      </c>
      <c r="P11" s="58">
        <f t="shared" si="6"/>
        <v>4</v>
      </c>
      <c r="Q11" s="54">
        <v>350</v>
      </c>
      <c r="R11" s="55">
        <f t="shared" si="7"/>
        <v>1</v>
      </c>
      <c r="S11" s="55">
        <f t="shared" si="8"/>
        <v>4</v>
      </c>
      <c r="T11" s="54">
        <f t="shared" si="9"/>
        <v>150</v>
      </c>
      <c r="U11" s="54">
        <v>-0.5</v>
      </c>
      <c r="V11" s="55">
        <f t="shared" si="0"/>
        <v>-8.3333333333333329E-2</v>
      </c>
      <c r="W11" s="67">
        <f t="shared" si="1"/>
        <v>-12.5</v>
      </c>
      <c r="X11" s="44"/>
    </row>
    <row r="12" spans="1:256" ht="15" customHeight="1">
      <c r="A12" s="6">
        <v>9</v>
      </c>
      <c r="B12" s="7" t="str">
        <f>IF(Allocation!F11="","",VLOOKUP(A12,Allocation!$A$2:$I$47,3))</f>
        <v>Jocelyn K</v>
      </c>
      <c r="C12" s="6">
        <f>IF(B12="","",VLOOKUP(A12,Allocation!$A$2:$I$47,4,))</f>
        <v>58</v>
      </c>
      <c r="D12" s="6">
        <f>IF(B12="","",VLOOKUP(A12,Allocation!$A$2:$I$47,6,))</f>
        <v>3</v>
      </c>
      <c r="E12" s="2"/>
      <c r="F12" s="37">
        <f t="shared" si="10"/>
        <v>58</v>
      </c>
      <c r="G12" s="127" t="s">
        <v>39</v>
      </c>
      <c r="H12" s="127" t="s">
        <v>148</v>
      </c>
      <c r="I12" s="38">
        <f t="shared" si="11"/>
        <v>68</v>
      </c>
      <c r="J12" s="2"/>
      <c r="K12" s="66">
        <v>7</v>
      </c>
      <c r="L12" s="56">
        <f t="shared" si="2"/>
        <v>58</v>
      </c>
      <c r="M12" s="57" t="str">
        <f t="shared" si="3"/>
        <v>Jocelyn K</v>
      </c>
      <c r="N12" s="57" t="str">
        <f t="shared" si="4"/>
        <v>Jaid</v>
      </c>
      <c r="O12" s="56">
        <f t="shared" si="5"/>
        <v>68</v>
      </c>
      <c r="P12" s="58">
        <f t="shared" si="6"/>
        <v>10</v>
      </c>
      <c r="Q12" s="54">
        <v>350</v>
      </c>
      <c r="R12" s="55">
        <f t="shared" si="7"/>
        <v>1</v>
      </c>
      <c r="S12" s="55">
        <f t="shared" si="8"/>
        <v>10</v>
      </c>
      <c r="T12" s="54">
        <f t="shared" si="9"/>
        <v>126</v>
      </c>
      <c r="U12" s="54">
        <v>-1.5</v>
      </c>
      <c r="V12" s="55">
        <f t="shared" si="0"/>
        <v>-0.25</v>
      </c>
      <c r="W12" s="67">
        <f t="shared" si="1"/>
        <v>-31.5</v>
      </c>
      <c r="X12" s="44"/>
    </row>
    <row r="13" spans="1:256" ht="15" customHeight="1">
      <c r="A13" s="6">
        <v>10</v>
      </c>
      <c r="B13" s="7" t="str">
        <f>IF(Allocation!F12="","",VLOOKUP(A13,Allocation!$A$2:$I$47,3))</f>
        <v>Alison M</v>
      </c>
      <c r="C13" s="6">
        <f>IF(B13="","",VLOOKUP(A13,Allocation!$A$2:$I$47,4,))</f>
        <v>74</v>
      </c>
      <c r="D13" s="6">
        <f>IF(B13="","",VLOOKUP(A13,Allocation!$A$2:$I$47,6,))</f>
        <v>3</v>
      </c>
      <c r="E13" s="2"/>
      <c r="F13" s="37">
        <f t="shared" si="10"/>
        <v>71</v>
      </c>
      <c r="G13" s="127" t="s">
        <v>146</v>
      </c>
      <c r="H13" s="127" t="s">
        <v>50</v>
      </c>
      <c r="I13" s="38">
        <f t="shared" si="11"/>
        <v>90</v>
      </c>
      <c r="J13" s="2"/>
      <c r="K13" s="66">
        <v>8</v>
      </c>
      <c r="L13" s="56">
        <f t="shared" si="2"/>
        <v>71</v>
      </c>
      <c r="M13" s="57" t="str">
        <f t="shared" si="3"/>
        <v>Marc</v>
      </c>
      <c r="N13" s="57" t="str">
        <f t="shared" si="4"/>
        <v>Detlef H</v>
      </c>
      <c r="O13" s="56">
        <f t="shared" si="5"/>
        <v>90</v>
      </c>
      <c r="P13" s="58">
        <f t="shared" si="6"/>
        <v>19</v>
      </c>
      <c r="Q13" s="54">
        <v>350</v>
      </c>
      <c r="R13" s="55">
        <f t="shared" si="7"/>
        <v>1</v>
      </c>
      <c r="S13" s="55">
        <f t="shared" si="8"/>
        <v>19</v>
      </c>
      <c r="T13" s="54">
        <f t="shared" si="9"/>
        <v>161</v>
      </c>
      <c r="U13" s="54">
        <v>-2.5</v>
      </c>
      <c r="V13" s="55">
        <f t="shared" si="0"/>
        <v>-0.41666666666666669</v>
      </c>
      <c r="W13" s="67">
        <f t="shared" si="1"/>
        <v>-67.083333333333343</v>
      </c>
      <c r="X13" s="44"/>
    </row>
    <row r="14" spans="1:256" ht="15" customHeight="1">
      <c r="A14" s="6">
        <v>11</v>
      </c>
      <c r="B14" s="7" t="str">
        <f>IF(Allocation!F13="","",VLOOKUP(A14,Allocation!$A$2:$I$47,3))</f>
        <v>Janet A</v>
      </c>
      <c r="C14" s="6">
        <f>IF(B14="","",VLOOKUP(A14,Allocation!$A$2:$I$47,4,))</f>
        <v>74</v>
      </c>
      <c r="D14" s="6">
        <f>IF(B14="","",VLOOKUP(A14,Allocation!$A$2:$I$47,6,))</f>
        <v>2</v>
      </c>
      <c r="E14" s="2"/>
      <c r="F14" s="37">
        <f t="shared" si="10"/>
        <v>90</v>
      </c>
      <c r="G14" s="127" t="s">
        <v>144</v>
      </c>
      <c r="H14" s="127" t="s">
        <v>101</v>
      </c>
      <c r="I14" s="38">
        <f t="shared" si="11"/>
        <v>58</v>
      </c>
      <c r="J14" s="2"/>
      <c r="K14" s="66">
        <v>9</v>
      </c>
      <c r="L14" s="56">
        <f t="shared" si="2"/>
        <v>90</v>
      </c>
      <c r="M14" s="57" t="str">
        <f t="shared" si="3"/>
        <v>Richard V</v>
      </c>
      <c r="N14" s="57" t="str">
        <f t="shared" si="4"/>
        <v>Alice C</v>
      </c>
      <c r="O14" s="56">
        <f t="shared" si="5"/>
        <v>58</v>
      </c>
      <c r="P14" s="58">
        <f t="shared" si="6"/>
        <v>-32</v>
      </c>
      <c r="Q14" s="54">
        <v>330</v>
      </c>
      <c r="R14" s="55">
        <f t="shared" si="7"/>
        <v>0.94285714285714284</v>
      </c>
      <c r="S14" s="55">
        <f t="shared" si="8"/>
        <v>-30.171428571428571</v>
      </c>
      <c r="T14" s="54">
        <f t="shared" si="9"/>
        <v>148</v>
      </c>
      <c r="U14" s="54">
        <v>-3.5</v>
      </c>
      <c r="V14" s="55">
        <f t="shared" si="0"/>
        <v>-0.58333333333333337</v>
      </c>
      <c r="W14" s="67">
        <f t="shared" si="1"/>
        <v>-86.333333333333343</v>
      </c>
      <c r="X14" s="44"/>
    </row>
    <row r="15" spans="1:256" ht="15" customHeight="1">
      <c r="A15" s="6">
        <v>12</v>
      </c>
      <c r="B15" s="7" t="str">
        <f>IF(Allocation!F14="","",VLOOKUP(A15,Allocation!$A$2:$I$47,3))</f>
        <v>S-J</v>
      </c>
      <c r="C15" s="6">
        <f>IF(B15="","",VLOOKUP(A15,Allocation!$A$2:$I$47,4,))</f>
        <v>62</v>
      </c>
      <c r="D15" s="6" t="str">
        <f>IF(B15="","",VLOOKUP(A15,Allocation!$A$2:$I$47,6,))</f>
        <v>Sweep</v>
      </c>
      <c r="E15" s="2"/>
      <c r="F15" s="37">
        <f t="shared" si="10"/>
        <v>64</v>
      </c>
      <c r="G15" s="127" t="s">
        <v>33</v>
      </c>
      <c r="H15" s="127" t="s">
        <v>128</v>
      </c>
      <c r="I15" s="38">
        <f t="shared" si="11"/>
        <v>54</v>
      </c>
      <c r="J15" s="2"/>
      <c r="K15" s="66">
        <v>10</v>
      </c>
      <c r="L15" s="56">
        <f t="shared" si="2"/>
        <v>64</v>
      </c>
      <c r="M15" s="57" t="str">
        <f t="shared" si="3"/>
        <v>Simon F</v>
      </c>
      <c r="N15" s="57" t="str">
        <f t="shared" si="4"/>
        <v>Divina</v>
      </c>
      <c r="O15" s="56">
        <f t="shared" si="5"/>
        <v>54</v>
      </c>
      <c r="P15" s="58">
        <f t="shared" si="6"/>
        <v>-10</v>
      </c>
      <c r="Q15" s="54">
        <v>300</v>
      </c>
      <c r="R15" s="55">
        <f t="shared" si="7"/>
        <v>0.8571428571428571</v>
      </c>
      <c r="S15" s="55">
        <f t="shared" si="8"/>
        <v>-8.5714285714285712</v>
      </c>
      <c r="T15" s="54">
        <f t="shared" si="9"/>
        <v>118</v>
      </c>
      <c r="U15" s="54">
        <v>-4.5</v>
      </c>
      <c r="V15" s="55">
        <f t="shared" si="0"/>
        <v>-0.75</v>
      </c>
      <c r="W15" s="67">
        <f t="shared" si="1"/>
        <v>-88.5</v>
      </c>
      <c r="X15" s="44"/>
    </row>
    <row r="16" spans="1:256" ht="15.75" customHeight="1" thickBot="1">
      <c r="A16" s="6">
        <v>13</v>
      </c>
      <c r="B16" s="7" t="str">
        <f>IF(Allocation!F15="","",VLOOKUP(A16,Allocation!$A$2:$I$47,3))</f>
        <v/>
      </c>
      <c r="C16" s="6" t="str">
        <f>IF(B16="","",VLOOKUP(A16,Allocation!$A$2:$I$47,4,))</f>
        <v/>
      </c>
      <c r="D16" s="6" t="str">
        <f>IF(B16="","",VLOOKUP(A16,Allocation!$A$2:$I$47,6,))</f>
        <v/>
      </c>
      <c r="E16" s="2"/>
      <c r="F16" s="34"/>
      <c r="G16" s="128" t="s">
        <v>20</v>
      </c>
      <c r="H16" s="40">
        <f>IF(G16="","",VLOOKUP(G16,$B$4:$C$48,2,))</f>
        <v>62</v>
      </c>
      <c r="I16" s="35"/>
      <c r="J16" s="2"/>
      <c r="K16" s="66"/>
      <c r="L16" s="54">
        <v>3</v>
      </c>
      <c r="M16" s="11"/>
      <c r="N16" s="11"/>
      <c r="O16" s="53"/>
      <c r="P16" s="54">
        <f t="shared" si="6"/>
        <v>-3</v>
      </c>
      <c r="Q16" s="54">
        <v>420</v>
      </c>
      <c r="R16" s="55">
        <f t="shared" si="7"/>
        <v>1.2</v>
      </c>
      <c r="S16" s="55">
        <f t="shared" si="8"/>
        <v>-3.5999999999999996</v>
      </c>
      <c r="T16" s="54">
        <f>H16+7</f>
        <v>69</v>
      </c>
      <c r="U16" s="54">
        <v>-6</v>
      </c>
      <c r="V16" s="55">
        <f t="shared" si="0"/>
        <v>-1</v>
      </c>
      <c r="W16" s="67">
        <f t="shared" si="1"/>
        <v>-69</v>
      </c>
      <c r="X16" s="44"/>
    </row>
    <row r="17" spans="1:24" ht="15.6" customHeight="1" thickBot="1">
      <c r="A17" s="6">
        <v>14</v>
      </c>
      <c r="B17" s="7" t="str">
        <f>IF(Allocation!F16="","",VLOOKUP(A17,Allocation!$A$2:$I$47,3))</f>
        <v>Divina</v>
      </c>
      <c r="C17" s="6">
        <f>IF(B17="","",VLOOKUP(A17,Allocation!$A$2:$I$47,4,))</f>
        <v>54</v>
      </c>
      <c r="D17" s="6">
        <f>IF(B17="","",VLOOKUP(A17,Allocation!$A$2:$I$47,6,))</f>
        <v>2</v>
      </c>
      <c r="E17" s="2"/>
      <c r="F17" s="2"/>
      <c r="G17" s="2"/>
      <c r="H17" s="2"/>
      <c r="I17" s="2"/>
      <c r="J17" s="2"/>
      <c r="K17" s="68"/>
      <c r="L17" s="69">
        <f>SUM(L6:L16)</f>
        <v>708</v>
      </c>
      <c r="M17" s="70"/>
      <c r="N17" s="70"/>
      <c r="O17" s="69">
        <f>SUM(O6:O16)</f>
        <v>702</v>
      </c>
      <c r="P17" s="71"/>
      <c r="Q17" s="71"/>
      <c r="R17" s="71"/>
      <c r="S17" s="76">
        <f>SUM(S6:S16)</f>
        <v>-5.5428571428571445</v>
      </c>
      <c r="T17" s="71"/>
      <c r="U17" s="71"/>
      <c r="V17" s="72"/>
      <c r="W17" s="77">
        <f>SUM(W5:W16)</f>
        <v>11.75</v>
      </c>
      <c r="X17" s="44"/>
    </row>
    <row r="18" spans="1:24" ht="15" customHeight="1">
      <c r="A18" s="6">
        <v>15</v>
      </c>
      <c r="B18" s="7" t="str">
        <f>IF(Allocation!F17="","",VLOOKUP(A18,Allocation!$A$2:$I$47,3))</f>
        <v>Alice C</v>
      </c>
      <c r="C18" s="6">
        <f>IF(B18="","",VLOOKUP(A18,Allocation!$A$2:$I$47,4,))</f>
        <v>58</v>
      </c>
      <c r="D18" s="6">
        <f>IF(B18="","",VLOOKUP(A18,Allocation!$A$2:$I$47,6,))</f>
        <v>2</v>
      </c>
      <c r="E18" s="2"/>
      <c r="F18" s="42" t="s">
        <v>6</v>
      </c>
      <c r="G18" s="2"/>
      <c r="H18" s="2"/>
      <c r="I18" s="2"/>
      <c r="J18" s="2"/>
      <c r="K18" s="46"/>
      <c r="L18" s="47" t="s">
        <v>7</v>
      </c>
      <c r="M18" s="50"/>
      <c r="N18" s="51"/>
      <c r="O18" s="45">
        <v>87</v>
      </c>
      <c r="P18" s="48"/>
      <c r="Q18" s="48"/>
      <c r="R18" s="48"/>
      <c r="S18" s="52" t="s">
        <v>8</v>
      </c>
      <c r="T18" s="48"/>
      <c r="U18" s="48"/>
      <c r="V18" s="48"/>
      <c r="W18" s="52" t="s">
        <v>9</v>
      </c>
      <c r="X18" s="44"/>
    </row>
    <row r="19" spans="1:24" ht="15" customHeight="1">
      <c r="A19" s="6">
        <v>16</v>
      </c>
      <c r="B19" s="7" t="str">
        <f>IF(Allocation!F18="","",VLOOKUP(A19,Allocation!$A$2:$I$47,3))</f>
        <v>Miu</v>
      </c>
      <c r="C19" s="6">
        <f>IF(B19="","",VLOOKUP(A19,Allocation!$A$2:$I$47,4,))</f>
        <v>52</v>
      </c>
      <c r="D19" s="6">
        <f>IF(B19="","",VLOOKUP(A19,Allocation!$A$2:$I$47,6,))</f>
        <v>3</v>
      </c>
      <c r="E19" s="2"/>
      <c r="F19" s="2"/>
      <c r="G19" s="127" t="s">
        <v>136</v>
      </c>
      <c r="H19" s="36">
        <f>IF(G19="","",VLOOKUP(G19,$B$4:$C$48,2,))</f>
        <v>70</v>
      </c>
      <c r="I19" s="2"/>
      <c r="J19" s="2"/>
      <c r="K19" s="46"/>
      <c r="L19" s="58">
        <f>H19</f>
        <v>70</v>
      </c>
      <c r="M19" s="73" t="str">
        <f>G19</f>
        <v>Rohini</v>
      </c>
      <c r="N19" s="146" t="s">
        <v>10</v>
      </c>
      <c r="O19" s="147"/>
      <c r="P19" s="148"/>
      <c r="Q19" s="74">
        <f>SUM(O6:O15,L6:L15)</f>
        <v>1407</v>
      </c>
      <c r="R19" s="48"/>
      <c r="S19" s="52" t="s">
        <v>11</v>
      </c>
      <c r="T19" s="48"/>
      <c r="U19" s="49"/>
      <c r="V19" s="48"/>
      <c r="W19" s="52" t="s">
        <v>11</v>
      </c>
      <c r="X19" s="44"/>
    </row>
    <row r="20" spans="1:24" ht="15" customHeight="1">
      <c r="A20" s="6">
        <v>17</v>
      </c>
      <c r="B20" s="7" t="str">
        <f>IF(Allocation!F19="","",VLOOKUP(A20,Allocation!$A$2:$I$47,3))</f>
        <v/>
      </c>
      <c r="C20" s="6" t="str">
        <f>IF(B20="","",VLOOKUP(A20,Allocation!$A$2:$I$47,4,))</f>
        <v/>
      </c>
      <c r="D20" s="6" t="str">
        <f>IF(B20="","",VLOOKUP(A20,Allocation!$A$2:$I$47,6,))</f>
        <v/>
      </c>
      <c r="E20" s="2"/>
      <c r="F20" s="2"/>
      <c r="G20" s="127" t="s">
        <v>126</v>
      </c>
      <c r="H20" s="36">
        <f t="shared" ref="H20:H22" si="12">IF(G20="","",VLOOKUP(G20,$B$4:$C$48,2,))</f>
        <v>74</v>
      </c>
      <c r="I20" s="2"/>
      <c r="J20" s="2"/>
      <c r="K20" s="46"/>
      <c r="L20" s="58">
        <f>H20</f>
        <v>74</v>
      </c>
      <c r="M20" s="73" t="str">
        <f>G20</f>
        <v>Janet A</v>
      </c>
      <c r="N20" s="146" t="s">
        <v>12</v>
      </c>
      <c r="O20" s="147"/>
      <c r="P20" s="148"/>
      <c r="Q20" s="74">
        <f>SUM(O6:O15,L6:L15)/20</f>
        <v>70.349999999999994</v>
      </c>
      <c r="R20" s="49"/>
      <c r="S20" s="107" t="s">
        <v>84</v>
      </c>
      <c r="T20" s="49"/>
      <c r="U20" s="49"/>
      <c r="V20" s="48"/>
      <c r="W20" s="107" t="s">
        <v>85</v>
      </c>
      <c r="X20" s="44"/>
    </row>
    <row r="21" spans="1:24" ht="15" customHeight="1">
      <c r="A21" s="6">
        <v>18</v>
      </c>
      <c r="B21" s="7" t="str">
        <f>IF(Allocation!F20="","",VLOOKUP(A21,Allocation!$A$2:$I$47,3))</f>
        <v>Leah H</v>
      </c>
      <c r="C21" s="6">
        <f>IF(B21="","",VLOOKUP(A21,Allocation!$A$2:$I$47,4,))</f>
        <v>73</v>
      </c>
      <c r="D21" s="6">
        <f>IF(B21="","",VLOOKUP(A21,Allocation!$A$2:$I$47,6,))</f>
        <v>2</v>
      </c>
      <c r="E21" s="2"/>
      <c r="F21" s="2"/>
      <c r="G21" s="127" t="s">
        <v>140</v>
      </c>
      <c r="H21" s="36">
        <f t="shared" si="12"/>
        <v>82</v>
      </c>
      <c r="I21" s="2"/>
      <c r="J21" s="2"/>
      <c r="K21" s="46"/>
      <c r="L21" s="58">
        <f>H21</f>
        <v>82</v>
      </c>
      <c r="M21" s="73" t="str">
        <f>G21</f>
        <v>Michael H</v>
      </c>
      <c r="N21" s="146" t="s">
        <v>13</v>
      </c>
      <c r="O21" s="147"/>
      <c r="P21" s="148"/>
      <c r="Q21" s="74">
        <f>SUM(Q19,T16,T5,650)</f>
        <v>2195</v>
      </c>
      <c r="R21" s="49"/>
      <c r="S21" s="49"/>
      <c r="T21" s="49"/>
      <c r="U21" s="49"/>
      <c r="V21" s="48"/>
      <c r="W21" s="48"/>
      <c r="X21" s="44"/>
    </row>
    <row r="22" spans="1:24" ht="15" customHeight="1">
      <c r="A22" s="6">
        <v>19</v>
      </c>
      <c r="B22" s="7" t="str">
        <f>IF(Allocation!F21="","",VLOOKUP(A22,Allocation!$A$2:$I$47,3))</f>
        <v/>
      </c>
      <c r="C22" s="6" t="str">
        <f>IF(B22="","",VLOOKUP(A22,Allocation!$A$2:$I$47,4,))</f>
        <v/>
      </c>
      <c r="D22" s="6" t="str">
        <f>IF(B22="","",VLOOKUP(A22,Allocation!$A$2:$I$47,6,))</f>
        <v/>
      </c>
      <c r="E22" s="2"/>
      <c r="F22" s="2"/>
      <c r="G22" s="127" t="s">
        <v>47</v>
      </c>
      <c r="H22" s="36">
        <f t="shared" si="12"/>
        <v>95</v>
      </c>
      <c r="I22" s="2"/>
      <c r="J22" s="2"/>
      <c r="K22" s="46"/>
      <c r="L22" s="58">
        <f>H22</f>
        <v>95</v>
      </c>
      <c r="M22" s="73" t="str">
        <f>G22</f>
        <v>Kiran R</v>
      </c>
      <c r="N22" s="146" t="s">
        <v>14</v>
      </c>
      <c r="O22" s="147"/>
      <c r="P22" s="148"/>
      <c r="Q22" s="75">
        <f>SUM(Q19,T16,T5,650)/20</f>
        <v>109.75</v>
      </c>
      <c r="R22" s="49"/>
      <c r="S22" s="49"/>
      <c r="T22" s="49"/>
      <c r="U22" s="49"/>
      <c r="V22" s="48"/>
      <c r="W22" s="48"/>
      <c r="X22" s="44"/>
    </row>
    <row r="23" spans="1:24" ht="15" customHeight="1">
      <c r="A23" s="6">
        <v>20</v>
      </c>
      <c r="B23" s="7" t="str">
        <f>IF(Allocation!F22="","",VLOOKUP(A23,Allocation!$A$2:$I$47,3))</f>
        <v/>
      </c>
      <c r="C23" s="6" t="str">
        <f>IF(B23="","",VLOOKUP(A23,Allocation!$A$2:$I$47,4,))</f>
        <v/>
      </c>
      <c r="D23" s="6" t="str">
        <f>IF(B23="","",VLOOKUP(A23,Allocation!$A$2:$I$47,6,))</f>
        <v/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15" customHeight="1">
      <c r="A24" s="6">
        <v>21</v>
      </c>
      <c r="B24" s="7" t="str">
        <f>IF(Allocation!F23="","",VLOOKUP(A24,Allocation!$A$2:$I$47,3))</f>
        <v>Rohini</v>
      </c>
      <c r="C24" s="6">
        <f>IF(B24="","",VLOOKUP(A24,Allocation!$A$2:$I$47,4,))</f>
        <v>70</v>
      </c>
      <c r="D24" s="6">
        <f>IF(B24="","",VLOOKUP(A24,Allocation!$A$2:$I$47,6,))</f>
        <v>3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15" customHeight="1" thickBot="1">
      <c r="A25" s="6">
        <v>22</v>
      </c>
      <c r="B25" s="7" t="str">
        <f>IF(Allocation!F24="","",VLOOKUP(A25,Allocation!$A$2:$I$47,3))</f>
        <v/>
      </c>
      <c r="C25" s="6" t="str">
        <f>IF(B25="","",VLOOKUP(A25,Allocation!$A$2:$I$47,4,))</f>
        <v/>
      </c>
      <c r="D25" s="6" t="str">
        <f>IF(B25="","",VLOOKUP(A25,Allocation!$A$2:$I$47,6,))</f>
        <v/>
      </c>
      <c r="E25" s="2"/>
      <c r="F25" s="43" t="s">
        <v>15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15" customHeight="1">
      <c r="A26" s="6">
        <v>23</v>
      </c>
      <c r="B26" s="7" t="str">
        <f>IF(Allocation!F25="","",VLOOKUP(A26,Allocation!$A$2:$I$47,3))</f>
        <v>Lianna C</v>
      </c>
      <c r="C26" s="6">
        <f>IF(B26="","",VLOOKUP(A26,Allocation!$A$2:$I$47,4,))</f>
        <v>71</v>
      </c>
      <c r="D26" s="6">
        <f>IF(B26="","",VLOOKUP(A26,Allocation!$A$2:$I$47,6,))</f>
        <v>3</v>
      </c>
      <c r="E26" s="2"/>
      <c r="F26" s="32"/>
      <c r="G26" s="126" t="s">
        <v>41</v>
      </c>
      <c r="H26" s="39">
        <f>IF(G26="","",VLOOKUP(G26,$B$4:$C$48,2,))</f>
        <v>55</v>
      </c>
      <c r="I26" s="33"/>
      <c r="J26" s="2"/>
      <c r="K26" s="59"/>
      <c r="L26" s="60" t="s">
        <v>3</v>
      </c>
      <c r="M26" s="61" t="s">
        <v>4</v>
      </c>
      <c r="N26" s="61" t="s">
        <v>5</v>
      </c>
      <c r="O26" s="60" t="s">
        <v>3</v>
      </c>
      <c r="P26" s="62"/>
      <c r="Q26" s="62"/>
      <c r="R26" s="62"/>
      <c r="S26" s="62"/>
      <c r="T26" s="63">
        <f>H26+14</f>
        <v>69</v>
      </c>
      <c r="U26" s="63">
        <v>6</v>
      </c>
      <c r="V26" s="64">
        <f t="shared" ref="V26:V37" si="13">(U26)/6</f>
        <v>1</v>
      </c>
      <c r="W26" s="65">
        <f t="shared" ref="W26:W37" si="14">V26*T26</f>
        <v>69</v>
      </c>
      <c r="X26" s="2"/>
    </row>
    <row r="27" spans="1:24" ht="15" customHeight="1">
      <c r="A27" s="6">
        <v>24</v>
      </c>
      <c r="B27" s="7" t="str">
        <f>IF(Allocation!F26="","",VLOOKUP(A27,Allocation!$A$2:$I$47,3))</f>
        <v>Michael H</v>
      </c>
      <c r="C27" s="6">
        <f>IF(B27="","",VLOOKUP(A27,Allocation!$A$2:$I$47,4,))</f>
        <v>82</v>
      </c>
      <c r="D27" s="6">
        <f>IF(B27="","",VLOOKUP(A27,Allocation!$A$2:$I$47,6,))</f>
        <v>2</v>
      </c>
      <c r="E27" s="2"/>
      <c r="F27" s="37">
        <f>IF(G27="","",VLOOKUP(G27,$B$4:$C$48,2,))</f>
        <v>84</v>
      </c>
      <c r="G27" s="127" t="s">
        <v>103</v>
      </c>
      <c r="H27" s="127" t="s">
        <v>46</v>
      </c>
      <c r="I27" s="38">
        <f>IF(H27="","",VLOOKUP(H27,$B$4:$C$48,2,))</f>
        <v>71</v>
      </c>
      <c r="J27" s="2"/>
      <c r="K27" s="66">
        <v>1</v>
      </c>
      <c r="L27" s="56">
        <f t="shared" ref="L27:L36" si="15">F27</f>
        <v>84</v>
      </c>
      <c r="M27" s="57" t="str">
        <f t="shared" ref="M27:M36" si="16">G27</f>
        <v>Diego E</v>
      </c>
      <c r="N27" s="57" t="str">
        <f t="shared" ref="N27:N36" si="17">H27</f>
        <v>Lianna C</v>
      </c>
      <c r="O27" s="56">
        <f t="shared" ref="O27:O36" si="18">I27</f>
        <v>71</v>
      </c>
      <c r="P27" s="58">
        <f t="shared" ref="P27:P37" si="19">O27-L27</f>
        <v>-13</v>
      </c>
      <c r="Q27" s="54">
        <v>300</v>
      </c>
      <c r="R27" s="55">
        <f t="shared" ref="R27:R37" si="20">Q27/350</f>
        <v>0.8571428571428571</v>
      </c>
      <c r="S27" s="55">
        <f t="shared" ref="S27:S37" si="21">P27*R27</f>
        <v>-11.142857142857142</v>
      </c>
      <c r="T27" s="54">
        <f t="shared" ref="T27:T36" si="22">L27+O27</f>
        <v>155</v>
      </c>
      <c r="U27" s="54">
        <v>4.5</v>
      </c>
      <c r="V27" s="55">
        <f t="shared" si="13"/>
        <v>0.75</v>
      </c>
      <c r="W27" s="67">
        <f t="shared" si="14"/>
        <v>116.25</v>
      </c>
      <c r="X27" s="44"/>
    </row>
    <row r="28" spans="1:24" ht="15" customHeight="1">
      <c r="A28" s="6">
        <v>25</v>
      </c>
      <c r="B28" s="7" t="str">
        <f>IF(Allocation!F27="","",VLOOKUP(A28,Allocation!$A$2:$I$47,3))</f>
        <v>Andrew B</v>
      </c>
      <c r="C28" s="6">
        <f>IF(B28="","",VLOOKUP(A28,Allocation!$A$2:$I$47,4,))</f>
        <v>75</v>
      </c>
      <c r="D28" s="6">
        <f>IF(B28="","",VLOOKUP(A28,Allocation!$A$2:$I$47,6,))</f>
        <v>3</v>
      </c>
      <c r="E28" s="2"/>
      <c r="F28" s="37">
        <f t="shared" ref="F28:F36" si="23">IF(G28="","",VLOOKUP(G28,$B$4:$C$48,2,))</f>
        <v>64</v>
      </c>
      <c r="G28" s="127" t="s">
        <v>34</v>
      </c>
      <c r="H28" s="127" t="s">
        <v>40</v>
      </c>
      <c r="I28" s="38">
        <f t="shared" ref="I28:I36" si="24">IF(H28="","",VLOOKUP(H28,$B$4:$C$48,2,))</f>
        <v>70</v>
      </c>
      <c r="J28" s="2"/>
      <c r="K28" s="66">
        <v>2</v>
      </c>
      <c r="L28" s="56">
        <f t="shared" si="15"/>
        <v>64</v>
      </c>
      <c r="M28" s="57" t="str">
        <f t="shared" si="16"/>
        <v>Deb H</v>
      </c>
      <c r="N28" s="57" t="str">
        <f t="shared" si="17"/>
        <v>Amanda D</v>
      </c>
      <c r="O28" s="56">
        <f t="shared" si="18"/>
        <v>70</v>
      </c>
      <c r="P28" s="58">
        <f t="shared" si="19"/>
        <v>6</v>
      </c>
      <c r="Q28" s="54">
        <v>330</v>
      </c>
      <c r="R28" s="55">
        <f t="shared" si="20"/>
        <v>0.94285714285714284</v>
      </c>
      <c r="S28" s="55">
        <f t="shared" si="21"/>
        <v>5.6571428571428566</v>
      </c>
      <c r="T28" s="54">
        <f t="shared" si="22"/>
        <v>134</v>
      </c>
      <c r="U28" s="54">
        <v>3.5</v>
      </c>
      <c r="V28" s="55">
        <f t="shared" si="13"/>
        <v>0.58333333333333337</v>
      </c>
      <c r="W28" s="67">
        <f t="shared" si="14"/>
        <v>78.166666666666671</v>
      </c>
      <c r="X28" s="44"/>
    </row>
    <row r="29" spans="1:24" ht="15" customHeight="1">
      <c r="A29" s="6">
        <v>26</v>
      </c>
      <c r="B29" s="7" t="str">
        <f>IF(Allocation!F28="","",VLOOKUP(A29,Allocation!$A$2:$I$47,3))</f>
        <v>Diego E</v>
      </c>
      <c r="C29" s="6">
        <f>IF(B29="","",VLOOKUP(A29,Allocation!$A$2:$I$47,4,))</f>
        <v>84</v>
      </c>
      <c r="D29" s="6">
        <f>IF(B29="","",VLOOKUP(A29,Allocation!$A$2:$I$47,6,))</f>
        <v>3</v>
      </c>
      <c r="E29" s="2"/>
      <c r="F29" s="37">
        <f t="shared" si="23"/>
        <v>65</v>
      </c>
      <c r="G29" s="127" t="s">
        <v>99</v>
      </c>
      <c r="H29" s="127" t="s">
        <v>119</v>
      </c>
      <c r="I29" s="38">
        <f t="shared" si="24"/>
        <v>58</v>
      </c>
      <c r="J29" s="2"/>
      <c r="K29" s="66">
        <v>3</v>
      </c>
      <c r="L29" s="56">
        <f t="shared" si="15"/>
        <v>65</v>
      </c>
      <c r="M29" s="57" t="str">
        <f t="shared" si="16"/>
        <v>Andrea M</v>
      </c>
      <c r="N29" s="57" t="str">
        <f t="shared" si="17"/>
        <v>Victoria H</v>
      </c>
      <c r="O29" s="56">
        <f t="shared" si="18"/>
        <v>58</v>
      </c>
      <c r="P29" s="58">
        <f t="shared" si="19"/>
        <v>-7</v>
      </c>
      <c r="Q29" s="54">
        <v>350</v>
      </c>
      <c r="R29" s="55">
        <f t="shared" si="20"/>
        <v>1</v>
      </c>
      <c r="S29" s="55">
        <f t="shared" si="21"/>
        <v>-7</v>
      </c>
      <c r="T29" s="54">
        <f t="shared" si="22"/>
        <v>123</v>
      </c>
      <c r="U29" s="54">
        <v>2.5</v>
      </c>
      <c r="V29" s="55">
        <f t="shared" si="13"/>
        <v>0.41666666666666669</v>
      </c>
      <c r="W29" s="67">
        <f t="shared" si="14"/>
        <v>51.25</v>
      </c>
      <c r="X29" s="44"/>
    </row>
    <row r="30" spans="1:24" ht="15" customHeight="1">
      <c r="A30" s="6">
        <v>27</v>
      </c>
      <c r="B30" s="7" t="str">
        <f>IF(Allocation!F29="","",VLOOKUP(A30,Allocation!$A$2:$I$47,3))</f>
        <v>Simon F</v>
      </c>
      <c r="C30" s="6">
        <f>IF(B30="","",VLOOKUP(A30,Allocation!$A$2:$I$47,4,))</f>
        <v>64</v>
      </c>
      <c r="D30" s="6">
        <f>IF(B30="","",VLOOKUP(A30,Allocation!$A$2:$I$47,6,))</f>
        <v>2</v>
      </c>
      <c r="E30" s="2"/>
      <c r="F30" s="37">
        <f t="shared" si="23"/>
        <v>91</v>
      </c>
      <c r="G30" s="127" t="s">
        <v>48</v>
      </c>
      <c r="H30" s="127" t="s">
        <v>115</v>
      </c>
      <c r="I30" s="38">
        <f t="shared" si="24"/>
        <v>75</v>
      </c>
      <c r="J30" s="2"/>
      <c r="K30" s="66">
        <v>4</v>
      </c>
      <c r="L30" s="56">
        <f t="shared" si="15"/>
        <v>91</v>
      </c>
      <c r="M30" s="57" t="str">
        <f t="shared" si="16"/>
        <v>Paul J</v>
      </c>
      <c r="N30" s="57" t="str">
        <f t="shared" si="17"/>
        <v>Andrew B</v>
      </c>
      <c r="O30" s="56">
        <f t="shared" si="18"/>
        <v>75</v>
      </c>
      <c r="P30" s="58">
        <f t="shared" si="19"/>
        <v>-16</v>
      </c>
      <c r="Q30" s="54">
        <v>350</v>
      </c>
      <c r="R30" s="55">
        <f t="shared" si="20"/>
        <v>1</v>
      </c>
      <c r="S30" s="55">
        <f t="shared" si="21"/>
        <v>-16</v>
      </c>
      <c r="T30" s="54">
        <f t="shared" si="22"/>
        <v>166</v>
      </c>
      <c r="U30" s="54">
        <v>1.5</v>
      </c>
      <c r="V30" s="55">
        <f t="shared" si="13"/>
        <v>0.25</v>
      </c>
      <c r="W30" s="67">
        <f t="shared" si="14"/>
        <v>41.5</v>
      </c>
      <c r="X30" s="44"/>
    </row>
    <row r="31" spans="1:24" ht="15" customHeight="1">
      <c r="A31" s="6">
        <v>28</v>
      </c>
      <c r="B31" s="7" t="str">
        <f>IF(Allocation!F30="","",VLOOKUP(A31,Allocation!$A$2:$I$47,3))</f>
        <v>Andrew H</v>
      </c>
      <c r="C31" s="6">
        <f>IF(B31="","",VLOOKUP(A31,Allocation!$A$2:$I$47,4,))</f>
        <v>77</v>
      </c>
      <c r="D31" s="6">
        <f>IF(B31="","",VLOOKUP(A31,Allocation!$A$2:$I$47,6,))</f>
        <v>2</v>
      </c>
      <c r="E31" s="2"/>
      <c r="F31" s="37">
        <f t="shared" si="23"/>
        <v>74</v>
      </c>
      <c r="G31" s="127" t="s">
        <v>107</v>
      </c>
      <c r="H31" s="127" t="s">
        <v>136</v>
      </c>
      <c r="I31" s="38">
        <f t="shared" si="24"/>
        <v>70</v>
      </c>
      <c r="J31" s="2"/>
      <c r="K31" s="66">
        <v>5</v>
      </c>
      <c r="L31" s="56">
        <f t="shared" si="15"/>
        <v>74</v>
      </c>
      <c r="M31" s="57" t="str">
        <f t="shared" si="16"/>
        <v>Alison M</v>
      </c>
      <c r="N31" s="57" t="str">
        <f t="shared" si="17"/>
        <v>Rohini</v>
      </c>
      <c r="O31" s="56">
        <f t="shared" si="18"/>
        <v>70</v>
      </c>
      <c r="P31" s="58">
        <f t="shared" si="19"/>
        <v>-4</v>
      </c>
      <c r="Q31" s="54">
        <v>350</v>
      </c>
      <c r="R31" s="55">
        <f t="shared" si="20"/>
        <v>1</v>
      </c>
      <c r="S31" s="55">
        <f t="shared" si="21"/>
        <v>-4</v>
      </c>
      <c r="T31" s="54">
        <f t="shared" si="22"/>
        <v>144</v>
      </c>
      <c r="U31" s="54">
        <v>0.5</v>
      </c>
      <c r="V31" s="55">
        <f t="shared" si="13"/>
        <v>8.3333333333333329E-2</v>
      </c>
      <c r="W31" s="67">
        <f t="shared" si="14"/>
        <v>12</v>
      </c>
      <c r="X31" s="44"/>
    </row>
    <row r="32" spans="1:24" ht="15" customHeight="1">
      <c r="A32" s="6">
        <v>29</v>
      </c>
      <c r="B32" s="7" t="str">
        <f>IF(Allocation!F31="","",VLOOKUP(A32,Allocation!$A$2:$I$47,3))</f>
        <v>Detlef H</v>
      </c>
      <c r="C32" s="6">
        <f>IF(B32="","",VLOOKUP(A32,Allocation!$A$2:$I$47,4,))</f>
        <v>90</v>
      </c>
      <c r="D32" s="6">
        <f>IF(B32="","",VLOOKUP(A32,Allocation!$A$2:$I$47,6,))</f>
        <v>2</v>
      </c>
      <c r="E32" s="2"/>
      <c r="F32" s="37">
        <f t="shared" si="23"/>
        <v>77</v>
      </c>
      <c r="G32" s="127" t="s">
        <v>111</v>
      </c>
      <c r="H32" s="127" t="s">
        <v>47</v>
      </c>
      <c r="I32" s="38">
        <f t="shared" si="24"/>
        <v>95</v>
      </c>
      <c r="J32" s="2"/>
      <c r="K32" s="66">
        <v>6</v>
      </c>
      <c r="L32" s="56">
        <f t="shared" si="15"/>
        <v>77</v>
      </c>
      <c r="M32" s="57" t="str">
        <f t="shared" si="16"/>
        <v>Andrew H</v>
      </c>
      <c r="N32" s="57" t="str">
        <f t="shared" si="17"/>
        <v>Kiran R</v>
      </c>
      <c r="O32" s="56">
        <f t="shared" si="18"/>
        <v>95</v>
      </c>
      <c r="P32" s="58">
        <f t="shared" si="19"/>
        <v>18</v>
      </c>
      <c r="Q32" s="54">
        <v>350</v>
      </c>
      <c r="R32" s="55">
        <f t="shared" si="20"/>
        <v>1</v>
      </c>
      <c r="S32" s="55">
        <f t="shared" si="21"/>
        <v>18</v>
      </c>
      <c r="T32" s="54">
        <f t="shared" si="22"/>
        <v>172</v>
      </c>
      <c r="U32" s="54">
        <v>-0.5</v>
      </c>
      <c r="V32" s="55">
        <f t="shared" si="13"/>
        <v>-8.3333333333333329E-2</v>
      </c>
      <c r="W32" s="67">
        <f t="shared" si="14"/>
        <v>-14.333333333333332</v>
      </c>
      <c r="X32" s="44"/>
    </row>
    <row r="33" spans="1:24" ht="15" customHeight="1">
      <c r="A33" s="6">
        <v>30</v>
      </c>
      <c r="B33" s="7" t="str">
        <f>IF(Allocation!F32="","",VLOOKUP(A33,Allocation!$A$2:$I$47,3))</f>
        <v>Paul J</v>
      </c>
      <c r="C33" s="6">
        <f>IF(B33="","",VLOOKUP(A33,Allocation!$A$2:$I$47,4,))</f>
        <v>91</v>
      </c>
      <c r="D33" s="6">
        <f>IF(B33="","",VLOOKUP(A33,Allocation!$A$2:$I$47,6,))</f>
        <v>3</v>
      </c>
      <c r="E33" s="2"/>
      <c r="F33" s="37">
        <f t="shared" si="23"/>
        <v>52</v>
      </c>
      <c r="G33" s="127" t="s">
        <v>130</v>
      </c>
      <c r="H33" s="127" t="s">
        <v>39</v>
      </c>
      <c r="I33" s="38">
        <f t="shared" si="24"/>
        <v>58</v>
      </c>
      <c r="J33" s="2"/>
      <c r="K33" s="66">
        <v>7</v>
      </c>
      <c r="L33" s="56">
        <f t="shared" si="15"/>
        <v>52</v>
      </c>
      <c r="M33" s="57" t="str">
        <f t="shared" si="16"/>
        <v>Miu</v>
      </c>
      <c r="N33" s="57" t="str">
        <f t="shared" si="17"/>
        <v>Jocelyn K</v>
      </c>
      <c r="O33" s="56">
        <f t="shared" si="18"/>
        <v>58</v>
      </c>
      <c r="P33" s="58">
        <f t="shared" si="19"/>
        <v>6</v>
      </c>
      <c r="Q33" s="54">
        <v>350</v>
      </c>
      <c r="R33" s="55">
        <f t="shared" si="20"/>
        <v>1</v>
      </c>
      <c r="S33" s="55">
        <f t="shared" si="21"/>
        <v>6</v>
      </c>
      <c r="T33" s="54">
        <f t="shared" si="22"/>
        <v>110</v>
      </c>
      <c r="U33" s="54">
        <v>-1.5</v>
      </c>
      <c r="V33" s="55">
        <f t="shared" si="13"/>
        <v>-0.25</v>
      </c>
      <c r="W33" s="67">
        <f t="shared" si="14"/>
        <v>-27.5</v>
      </c>
      <c r="X33" s="44"/>
    </row>
    <row r="34" spans="1:24" ht="15" customHeight="1">
      <c r="A34" s="6">
        <v>31</v>
      </c>
      <c r="B34" s="7" t="str">
        <f>IF(Allocation!F33="","",VLOOKUP(A34,Allocation!$A$2:$I$47,3))</f>
        <v>Jaid</v>
      </c>
      <c r="C34" s="6">
        <f>IF(B34="","",VLOOKUP(A34,Allocation!$A$2:$I$47,4,))</f>
        <v>68</v>
      </c>
      <c r="D34" s="6">
        <f>IF(B34="","",VLOOKUP(A34,Allocation!$A$2:$I$47,6,))</f>
        <v>3</v>
      </c>
      <c r="E34" s="2"/>
      <c r="F34" s="37">
        <f t="shared" si="23"/>
        <v>58</v>
      </c>
      <c r="G34" s="127" t="s">
        <v>101</v>
      </c>
      <c r="H34" s="127" t="s">
        <v>148</v>
      </c>
      <c r="I34" s="38">
        <f t="shared" si="24"/>
        <v>68</v>
      </c>
      <c r="J34" s="2"/>
      <c r="K34" s="66">
        <v>8</v>
      </c>
      <c r="L34" s="56">
        <f t="shared" si="15"/>
        <v>58</v>
      </c>
      <c r="M34" s="57" t="str">
        <f t="shared" si="16"/>
        <v>Alice C</v>
      </c>
      <c r="N34" s="57" t="str">
        <f t="shared" si="17"/>
        <v>Jaid</v>
      </c>
      <c r="O34" s="56">
        <f t="shared" si="18"/>
        <v>68</v>
      </c>
      <c r="P34" s="58">
        <f t="shared" si="19"/>
        <v>10</v>
      </c>
      <c r="Q34" s="54">
        <v>350</v>
      </c>
      <c r="R34" s="55">
        <f t="shared" si="20"/>
        <v>1</v>
      </c>
      <c r="S34" s="55">
        <f t="shared" si="21"/>
        <v>10</v>
      </c>
      <c r="T34" s="54">
        <f t="shared" si="22"/>
        <v>126</v>
      </c>
      <c r="U34" s="54">
        <v>-2.5</v>
      </c>
      <c r="V34" s="55">
        <f t="shared" si="13"/>
        <v>-0.41666666666666669</v>
      </c>
      <c r="W34" s="67">
        <f t="shared" si="14"/>
        <v>-52.5</v>
      </c>
      <c r="X34" s="44"/>
    </row>
    <row r="35" spans="1:24" ht="15" customHeight="1">
      <c r="A35" s="6">
        <v>32</v>
      </c>
      <c r="B35" s="7" t="str">
        <f>IF(Allocation!F34="","",VLOOKUP(A35,Allocation!$A$2:$I$47,3))</f>
        <v>Kiran R</v>
      </c>
      <c r="C35" s="6">
        <f>IF(B35="","",VLOOKUP(A35,Allocation!$A$2:$I$47,4,))</f>
        <v>95</v>
      </c>
      <c r="D35" s="6">
        <f>IF(B35="","",VLOOKUP(A35,Allocation!$A$2:$I$47,6,))</f>
        <v>2</v>
      </c>
      <c r="E35" s="2"/>
      <c r="F35" s="37">
        <f t="shared" si="23"/>
        <v>82</v>
      </c>
      <c r="G35" s="127" t="s">
        <v>140</v>
      </c>
      <c r="H35" s="127" t="s">
        <v>144</v>
      </c>
      <c r="I35" s="38">
        <f t="shared" si="24"/>
        <v>90</v>
      </c>
      <c r="J35" s="2"/>
      <c r="K35" s="66">
        <v>9</v>
      </c>
      <c r="L35" s="56">
        <f t="shared" si="15"/>
        <v>82</v>
      </c>
      <c r="M35" s="57" t="str">
        <f t="shared" si="16"/>
        <v>Michael H</v>
      </c>
      <c r="N35" s="57" t="str">
        <f t="shared" si="17"/>
        <v>Richard V</v>
      </c>
      <c r="O35" s="56">
        <f t="shared" si="18"/>
        <v>90</v>
      </c>
      <c r="P35" s="58">
        <f t="shared" si="19"/>
        <v>8</v>
      </c>
      <c r="Q35" s="54">
        <v>330</v>
      </c>
      <c r="R35" s="55">
        <f t="shared" si="20"/>
        <v>0.94285714285714284</v>
      </c>
      <c r="S35" s="55">
        <f t="shared" si="21"/>
        <v>7.5428571428571427</v>
      </c>
      <c r="T35" s="54">
        <f t="shared" si="22"/>
        <v>172</v>
      </c>
      <c r="U35" s="54">
        <v>-3.5</v>
      </c>
      <c r="V35" s="55">
        <f t="shared" si="13"/>
        <v>-0.58333333333333337</v>
      </c>
      <c r="W35" s="67">
        <f t="shared" si="14"/>
        <v>-100.33333333333334</v>
      </c>
      <c r="X35" s="44"/>
    </row>
    <row r="36" spans="1:24" ht="15" customHeight="1">
      <c r="A36" s="6">
        <v>33</v>
      </c>
      <c r="B36" s="7" t="str">
        <f>IF(Allocation!F35="","",VLOOKUP(A36,Allocation!$A$2:$I$47,3))</f>
        <v>Marc</v>
      </c>
      <c r="C36" s="6">
        <f>IF(B36="","",VLOOKUP(A36,Allocation!$A$2:$I$47,4,))</f>
        <v>71</v>
      </c>
      <c r="D36" s="6">
        <f>IF(B36="","",VLOOKUP(A36,Allocation!$A$2:$I$47,6,))</f>
        <v>3</v>
      </c>
      <c r="E36" s="2"/>
      <c r="F36" s="37">
        <f t="shared" si="23"/>
        <v>74</v>
      </c>
      <c r="G36" s="127" t="s">
        <v>126</v>
      </c>
      <c r="H36" s="127" t="s">
        <v>146</v>
      </c>
      <c r="I36" s="38">
        <f t="shared" si="24"/>
        <v>71</v>
      </c>
      <c r="J36" s="2"/>
      <c r="K36" s="66">
        <v>10</v>
      </c>
      <c r="L36" s="56">
        <f t="shared" si="15"/>
        <v>74</v>
      </c>
      <c r="M36" s="57" t="str">
        <f t="shared" si="16"/>
        <v>Janet A</v>
      </c>
      <c r="N36" s="57" t="str">
        <f t="shared" si="17"/>
        <v>Marc</v>
      </c>
      <c r="O36" s="56">
        <f t="shared" si="18"/>
        <v>71</v>
      </c>
      <c r="P36" s="58">
        <f t="shared" si="19"/>
        <v>-3</v>
      </c>
      <c r="Q36" s="54">
        <v>300</v>
      </c>
      <c r="R36" s="55">
        <f t="shared" si="20"/>
        <v>0.8571428571428571</v>
      </c>
      <c r="S36" s="55">
        <f t="shared" si="21"/>
        <v>-2.5714285714285712</v>
      </c>
      <c r="T36" s="54">
        <f t="shared" si="22"/>
        <v>145</v>
      </c>
      <c r="U36" s="54">
        <v>-4.5</v>
      </c>
      <c r="V36" s="55">
        <f t="shared" si="13"/>
        <v>-0.75</v>
      </c>
      <c r="W36" s="67">
        <f t="shared" si="14"/>
        <v>-108.75</v>
      </c>
      <c r="X36" s="44"/>
    </row>
    <row r="37" spans="1:24" ht="15" customHeight="1" thickBot="1">
      <c r="A37" s="6">
        <v>34</v>
      </c>
      <c r="B37" s="7" t="str">
        <f>IF(Allocation!F36="","",VLOOKUP(A37,Allocation!$A$2:$I$47,3))</f>
        <v/>
      </c>
      <c r="C37" s="6" t="str">
        <f>IF(B37="","",VLOOKUP(A37,Allocation!$A$2:$I$47,4,))</f>
        <v/>
      </c>
      <c r="D37" s="6" t="str">
        <f>IF(B37="","",VLOOKUP(A37,Allocation!$A$2:$I$47,6,))</f>
        <v/>
      </c>
      <c r="E37" s="2"/>
      <c r="F37" s="34"/>
      <c r="G37" s="128" t="s">
        <v>20</v>
      </c>
      <c r="H37" s="40">
        <f>IF(G37="","",VLOOKUP(G37,$B$4:$C$48,2,))</f>
        <v>62</v>
      </c>
      <c r="I37" s="35"/>
      <c r="J37" s="2"/>
      <c r="K37" s="66"/>
      <c r="L37" s="54">
        <v>3</v>
      </c>
      <c r="M37" s="11"/>
      <c r="N37" s="11"/>
      <c r="O37" s="53"/>
      <c r="P37" s="54">
        <f t="shared" si="19"/>
        <v>-3</v>
      </c>
      <c r="Q37" s="54">
        <v>420</v>
      </c>
      <c r="R37" s="55">
        <f t="shared" si="20"/>
        <v>1.2</v>
      </c>
      <c r="S37" s="55">
        <f t="shared" si="21"/>
        <v>-3.5999999999999996</v>
      </c>
      <c r="T37" s="54">
        <f>H37+7</f>
        <v>69</v>
      </c>
      <c r="U37" s="54">
        <v>-6</v>
      </c>
      <c r="V37" s="55">
        <f t="shared" si="13"/>
        <v>-1</v>
      </c>
      <c r="W37" s="67">
        <f t="shared" si="14"/>
        <v>-69</v>
      </c>
      <c r="X37" s="44"/>
    </row>
    <row r="38" spans="1:24" ht="15" customHeight="1" thickBot="1">
      <c r="A38" s="6">
        <v>35</v>
      </c>
      <c r="B38" s="7" t="str">
        <f>IF(Allocation!F37="","",VLOOKUP(A38,Allocation!$A$2:$I$47,3))</f>
        <v>Richard V</v>
      </c>
      <c r="C38" s="6">
        <f>IF(B38="","",VLOOKUP(A38,Allocation!$A$2:$I$47,4,))</f>
        <v>90</v>
      </c>
      <c r="D38" s="6">
        <f>IF(B38="","",VLOOKUP(A38,Allocation!$A$2:$I$47,6,))</f>
        <v>2</v>
      </c>
      <c r="E38" s="2"/>
      <c r="F38" s="2"/>
      <c r="G38" s="2"/>
      <c r="H38" s="2"/>
      <c r="I38" s="2"/>
      <c r="J38" s="2"/>
      <c r="K38" s="68"/>
      <c r="L38" s="69">
        <f>SUM(L27:L37)</f>
        <v>724</v>
      </c>
      <c r="M38" s="70"/>
      <c r="N38" s="70"/>
      <c r="O38" s="69">
        <f>SUM(O27:O37)</f>
        <v>726</v>
      </c>
      <c r="P38" s="71"/>
      <c r="Q38" s="71"/>
      <c r="R38" s="71"/>
      <c r="S38" s="76">
        <f>SUM(S27:S37)</f>
        <v>2.8857142857142843</v>
      </c>
      <c r="T38" s="71"/>
      <c r="U38" s="71"/>
      <c r="V38" s="72"/>
      <c r="W38" s="77">
        <f>SUM(W26:W37)</f>
        <v>-4.2499999999999716</v>
      </c>
      <c r="X38" s="44"/>
    </row>
    <row r="39" spans="1:24" ht="15" customHeight="1">
      <c r="A39" s="6">
        <v>36</v>
      </c>
      <c r="B39" s="7" t="str">
        <f>IF(Allocation!F38="","",VLOOKUP(A39,Allocation!$A$2:$I$47,3))</f>
        <v>Andrea M</v>
      </c>
      <c r="C39" s="6">
        <f>IF(B39="","",VLOOKUP(A39,Allocation!$A$2:$I$47,4,))</f>
        <v>65</v>
      </c>
      <c r="D39" s="6">
        <f>IF(B39="","",VLOOKUP(A39,Allocation!$A$2:$I$47,6,))</f>
        <v>3</v>
      </c>
      <c r="E39" s="2"/>
      <c r="F39" s="42" t="s">
        <v>6</v>
      </c>
      <c r="G39" s="2"/>
      <c r="H39" s="2"/>
      <c r="I39" s="2"/>
      <c r="J39" s="2"/>
      <c r="K39" s="46"/>
      <c r="L39" s="47" t="s">
        <v>7</v>
      </c>
      <c r="M39" s="50"/>
      <c r="N39" s="51"/>
      <c r="O39" s="45">
        <v>87</v>
      </c>
      <c r="P39" s="48"/>
      <c r="Q39" s="48"/>
      <c r="R39" s="48"/>
      <c r="S39" s="52" t="s">
        <v>8</v>
      </c>
      <c r="T39" s="48"/>
      <c r="U39" s="48"/>
      <c r="V39" s="48"/>
      <c r="W39" s="52" t="s">
        <v>9</v>
      </c>
      <c r="X39" s="44"/>
    </row>
    <row r="40" spans="1:24" ht="15" customHeight="1">
      <c r="A40" s="6">
        <v>37</v>
      </c>
      <c r="B40" s="7" t="str">
        <f>IF(Allocation!F39="","",VLOOKUP(A40,Allocation!$A$2:$I$47,3))</f>
        <v/>
      </c>
      <c r="C40" s="6" t="str">
        <f>IF(B40="","",VLOOKUP(A40,Allocation!$A$2:$I$47,4,))</f>
        <v/>
      </c>
      <c r="D40" s="6" t="str">
        <f>IF(B40="","",VLOOKUP(A40,Allocation!$A$2:$I$47,6,))</f>
        <v/>
      </c>
      <c r="E40" s="2"/>
      <c r="F40" s="2"/>
      <c r="G40" s="127" t="s">
        <v>45</v>
      </c>
      <c r="H40" s="36">
        <f>IF(G40="","",VLOOKUP(G40,$B$4:$C$48,2,))</f>
        <v>73</v>
      </c>
      <c r="I40" s="2"/>
      <c r="J40" s="2"/>
      <c r="K40" s="46"/>
      <c r="L40" s="58">
        <f>H40</f>
        <v>73</v>
      </c>
      <c r="M40" s="73" t="str">
        <f>G40</f>
        <v>Leah H</v>
      </c>
      <c r="N40" s="146" t="s">
        <v>10</v>
      </c>
      <c r="O40" s="147"/>
      <c r="P40" s="148"/>
      <c r="Q40" s="74">
        <f>SUM(O27:O36,L27:L36)</f>
        <v>1447</v>
      </c>
      <c r="R40" s="48"/>
      <c r="S40" s="52" t="s">
        <v>11</v>
      </c>
      <c r="T40" s="48"/>
      <c r="U40" s="49"/>
      <c r="V40" s="48"/>
      <c r="W40" s="52" t="s">
        <v>11</v>
      </c>
      <c r="X40" s="44"/>
    </row>
    <row r="41" spans="1:24" ht="15" customHeight="1">
      <c r="A41" s="6">
        <v>38</v>
      </c>
      <c r="B41" s="7" t="str">
        <f>IF(Allocation!F40="","",VLOOKUP(A41,Allocation!$A$2:$I$47,3))</f>
        <v/>
      </c>
      <c r="C41" s="6" t="str">
        <f>IF(B41="","",VLOOKUP(A41,Allocation!$A$2:$I$47,4,))</f>
        <v/>
      </c>
      <c r="D41" s="6" t="str">
        <f>IF(B41="","",VLOOKUP(A41,Allocation!$A$2:$I$47,6,))</f>
        <v/>
      </c>
      <c r="E41" s="2"/>
      <c r="F41" s="2"/>
      <c r="G41" s="127" t="s">
        <v>128</v>
      </c>
      <c r="H41" s="36">
        <f t="shared" ref="H41:H43" si="25">IF(G41="","",VLOOKUP(G41,$B$4:$C$48,2,))</f>
        <v>54</v>
      </c>
      <c r="I41" s="2"/>
      <c r="J41" s="2"/>
      <c r="K41" s="46"/>
      <c r="L41" s="58">
        <f>H41</f>
        <v>54</v>
      </c>
      <c r="M41" s="73" t="str">
        <f>G41</f>
        <v>Divina</v>
      </c>
      <c r="N41" s="146" t="s">
        <v>12</v>
      </c>
      <c r="O41" s="147"/>
      <c r="P41" s="148"/>
      <c r="Q41" s="74">
        <f>SUM(O27:O36,L27:L36)/20</f>
        <v>72.349999999999994</v>
      </c>
      <c r="R41" s="49"/>
      <c r="S41" s="107" t="s">
        <v>84</v>
      </c>
      <c r="T41" s="49"/>
      <c r="U41" s="49"/>
      <c r="V41" s="48"/>
      <c r="W41" s="107" t="s">
        <v>85</v>
      </c>
      <c r="X41" s="44"/>
    </row>
    <row r="42" spans="1:24" ht="15" customHeight="1">
      <c r="A42" s="6">
        <v>39</v>
      </c>
      <c r="B42" s="7" t="str">
        <f>IF(Allocation!F41="","",VLOOKUP(A42,Allocation!$A$2:$I$47,3))</f>
        <v/>
      </c>
      <c r="C42" s="6" t="str">
        <f>IF(B42="","",VLOOKUP(A42,Allocation!$A$2:$I$47,4,))</f>
        <v/>
      </c>
      <c r="D42" s="6" t="str">
        <f>IF(B42="","",VLOOKUP(A42,Allocation!$A$2:$I$47,6,))</f>
        <v/>
      </c>
      <c r="E42" s="2"/>
      <c r="F42" s="2"/>
      <c r="G42" s="127" t="s">
        <v>50</v>
      </c>
      <c r="H42" s="36">
        <f t="shared" si="25"/>
        <v>90</v>
      </c>
      <c r="I42" s="2"/>
      <c r="J42" s="2"/>
      <c r="K42" s="46"/>
      <c r="L42" s="58">
        <f>H42</f>
        <v>90</v>
      </c>
      <c r="M42" s="73" t="str">
        <f>G42</f>
        <v>Detlef H</v>
      </c>
      <c r="N42" s="146" t="s">
        <v>13</v>
      </c>
      <c r="O42" s="147"/>
      <c r="P42" s="148"/>
      <c r="Q42" s="74">
        <f>SUM(Q40,T37,T26,650)</f>
        <v>2235</v>
      </c>
      <c r="R42" s="49"/>
      <c r="S42" s="49"/>
      <c r="T42" s="49"/>
      <c r="U42" s="49"/>
      <c r="V42" s="48"/>
      <c r="W42" s="48"/>
      <c r="X42" s="44"/>
    </row>
    <row r="43" spans="1:24" ht="15" customHeight="1">
      <c r="A43" s="6">
        <v>40</v>
      </c>
      <c r="B43" s="7" t="str">
        <f>IF(Allocation!F42="","",VLOOKUP(A43,Allocation!$A$2:$I$47,3))</f>
        <v/>
      </c>
      <c r="C43" s="6" t="str">
        <f>IF(B43="","",VLOOKUP(A43,Allocation!$A$2:$I$47,4,))</f>
        <v/>
      </c>
      <c r="D43" s="6" t="str">
        <f>IF(B43="","",VLOOKUP(A43,Allocation!$A$2:$I$47,6,))</f>
        <v/>
      </c>
      <c r="E43" s="2"/>
      <c r="F43" s="2"/>
      <c r="G43" s="127" t="s">
        <v>33</v>
      </c>
      <c r="H43" s="36">
        <f t="shared" si="25"/>
        <v>64</v>
      </c>
      <c r="I43" s="2"/>
      <c r="J43" s="2"/>
      <c r="K43" s="46"/>
      <c r="L43" s="58">
        <f>H43</f>
        <v>64</v>
      </c>
      <c r="M43" s="73" t="str">
        <f>G43</f>
        <v>Simon F</v>
      </c>
      <c r="N43" s="146" t="s">
        <v>14</v>
      </c>
      <c r="O43" s="147"/>
      <c r="P43" s="148"/>
      <c r="Q43" s="75">
        <f>SUM(Q40,T37,T26,650)/20</f>
        <v>111.75</v>
      </c>
      <c r="R43" s="49"/>
      <c r="S43" s="49"/>
      <c r="T43" s="49"/>
      <c r="U43" s="49"/>
      <c r="V43" s="48"/>
      <c r="W43" s="48"/>
      <c r="X43" s="44"/>
    </row>
    <row r="44" spans="1:24" ht="15" customHeight="1">
      <c r="A44" s="6">
        <v>41</v>
      </c>
      <c r="B44" s="7" t="str">
        <f>IF(Allocation!F43="","",VLOOKUP(A44,Allocation!$A$2:$I$47,3))</f>
        <v/>
      </c>
      <c r="C44" s="6" t="str">
        <f>IF(B44="","",VLOOKUP(A44,Allocation!$A$2:$I$47,4,))</f>
        <v/>
      </c>
      <c r="D44" s="6" t="str">
        <f>IF(B44="","",VLOOKUP(A44,Allocation!$A$2:$I$47,6,))</f>
        <v/>
      </c>
      <c r="E44" s="2"/>
      <c r="X44" s="44"/>
    </row>
    <row r="45" spans="1:24" ht="15" customHeight="1">
      <c r="A45" s="6">
        <v>42</v>
      </c>
      <c r="B45" s="7" t="str">
        <f>IF(Allocation!F44="","",VLOOKUP(A45,Allocation!$A$2:$I$47,3))</f>
        <v/>
      </c>
      <c r="C45" s="6" t="str">
        <f>IF(B45="","",VLOOKUP(A45,Allocation!$A$2:$I$47,4,))</f>
        <v/>
      </c>
      <c r="D45" s="6" t="str">
        <f>IF(B45="","",VLOOKUP(A45,Allocation!$A$2:$I$47,6,))</f>
        <v/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15" customHeight="1" thickBot="1">
      <c r="A46" s="6">
        <v>43</v>
      </c>
      <c r="B46" s="7" t="str">
        <f>IF(Allocation!F45="","",VLOOKUP(A46,Allocation!$A$2:$I$47,3))</f>
        <v/>
      </c>
      <c r="C46" s="6" t="str">
        <f>IF(B46="","",VLOOKUP(A46,Allocation!$A$2:$I$47,4,))</f>
        <v/>
      </c>
      <c r="D46" s="6" t="str">
        <f>IF(B46="","",VLOOKUP(A46,Allocation!$A$2:$I$47,6,))</f>
        <v/>
      </c>
      <c r="E46" s="2"/>
      <c r="F46" s="43" t="s">
        <v>16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5" customHeight="1">
      <c r="A47" s="6">
        <v>44</v>
      </c>
      <c r="B47" s="7" t="str">
        <f>IF(Allocation!F46="","",VLOOKUP(A47,Allocation!$A$2:$I$47,3))</f>
        <v/>
      </c>
      <c r="C47" s="6" t="str">
        <f>IF(B47="","",VLOOKUP(A47,Allocation!$A$2:$I$47,4,))</f>
        <v/>
      </c>
      <c r="D47" s="6" t="str">
        <f>IF(B47="","",VLOOKUP(A47,Allocation!$A$2:$I$47,6,))</f>
        <v/>
      </c>
      <c r="E47" s="2"/>
      <c r="F47" s="32"/>
      <c r="G47" s="126"/>
      <c r="H47" s="39" t="str">
        <f>IF(G47="","",VLOOKUP(G47,$B$4:$C$48,2,))</f>
        <v/>
      </c>
      <c r="I47" s="33"/>
      <c r="J47" s="2"/>
      <c r="K47" s="59"/>
      <c r="L47" s="60" t="s">
        <v>3</v>
      </c>
      <c r="M47" s="61" t="s">
        <v>4</v>
      </c>
      <c r="N47" s="61" t="s">
        <v>5</v>
      </c>
      <c r="O47" s="60" t="s">
        <v>3</v>
      </c>
      <c r="P47" s="62"/>
      <c r="Q47" s="62"/>
      <c r="R47" s="62"/>
      <c r="S47" s="62"/>
      <c r="T47" s="63" t="e">
        <f>H47+14</f>
        <v>#VALUE!</v>
      </c>
      <c r="U47" s="63">
        <v>6</v>
      </c>
      <c r="V47" s="64">
        <f t="shared" ref="V47:V58" si="26">(U47)/6</f>
        <v>1</v>
      </c>
      <c r="W47" s="65" t="e">
        <f t="shared" ref="W47:W58" si="27">V47*T47</f>
        <v>#VALUE!</v>
      </c>
      <c r="X47" s="2"/>
    </row>
    <row r="48" spans="1:24" ht="15" customHeight="1">
      <c r="A48" s="6">
        <v>45</v>
      </c>
      <c r="B48" s="7" t="str">
        <f>IF(Allocation!F47="","",VLOOKUP(A48,Allocation!$A$2:$I$47,3))</f>
        <v/>
      </c>
      <c r="C48" s="6" t="str">
        <f>IF(B48="","",VLOOKUP(A48,Allocation!$A$2:$I$47,4,))</f>
        <v/>
      </c>
      <c r="D48" s="6" t="str">
        <f>IF(B48="","",VLOOKUP(A48,Allocation!$A$2:$I$47,6,))</f>
        <v/>
      </c>
      <c r="E48" s="2"/>
      <c r="F48" s="37" t="str">
        <f>IF(G48="","",VLOOKUP(G48,$B$4:$C$48,2,))</f>
        <v/>
      </c>
      <c r="G48" s="127"/>
      <c r="H48" s="127"/>
      <c r="I48" s="38" t="str">
        <f>IF(H48="","",VLOOKUP(H48,$B$4:$C$48,2,))</f>
        <v/>
      </c>
      <c r="J48" s="2"/>
      <c r="K48" s="66">
        <v>1</v>
      </c>
      <c r="L48" s="56" t="str">
        <f t="shared" ref="L48:L57" si="28">F48</f>
        <v/>
      </c>
      <c r="M48" s="57">
        <f t="shared" ref="M48:M57" si="29">G48</f>
        <v>0</v>
      </c>
      <c r="N48" s="57">
        <f t="shared" ref="N48:N57" si="30">H48</f>
        <v>0</v>
      </c>
      <c r="O48" s="56" t="str">
        <f t="shared" ref="O48:O57" si="31">I48</f>
        <v/>
      </c>
      <c r="P48" s="58" t="e">
        <f t="shared" ref="P48:P58" si="32">O48-L48</f>
        <v>#VALUE!</v>
      </c>
      <c r="Q48" s="54">
        <v>300</v>
      </c>
      <c r="R48" s="55">
        <f t="shared" ref="R48:R58" si="33">Q48/350</f>
        <v>0.8571428571428571</v>
      </c>
      <c r="S48" s="55" t="e">
        <f t="shared" ref="S48:S58" si="34">P48*R48</f>
        <v>#VALUE!</v>
      </c>
      <c r="T48" s="54" t="e">
        <f t="shared" ref="T48:T57" si="35">L48+O48</f>
        <v>#VALUE!</v>
      </c>
      <c r="U48" s="54">
        <v>4.5</v>
      </c>
      <c r="V48" s="55">
        <f t="shared" si="26"/>
        <v>0.75</v>
      </c>
      <c r="W48" s="67" t="e">
        <f t="shared" si="27"/>
        <v>#VALUE!</v>
      </c>
      <c r="X48" s="44"/>
    </row>
    <row r="49" spans="1:24" ht="15" customHeight="1">
      <c r="A49" s="106"/>
      <c r="B49" s="94"/>
      <c r="C49" s="94"/>
      <c r="D49" s="94"/>
      <c r="E49" s="2"/>
      <c r="F49" s="37" t="str">
        <f t="shared" ref="F49:F57" si="36">IF(G49="","",VLOOKUP(G49,$B$4:$C$48,2,))</f>
        <v/>
      </c>
      <c r="G49" s="127"/>
      <c r="H49" s="127"/>
      <c r="I49" s="38" t="str">
        <f t="shared" ref="I49:I57" si="37">IF(H49="","",VLOOKUP(H49,$B$4:$C$48,2,))</f>
        <v/>
      </c>
      <c r="J49" s="2"/>
      <c r="K49" s="66">
        <v>2</v>
      </c>
      <c r="L49" s="56" t="str">
        <f t="shared" si="28"/>
        <v/>
      </c>
      <c r="M49" s="57">
        <f t="shared" si="29"/>
        <v>0</v>
      </c>
      <c r="N49" s="57">
        <f t="shared" si="30"/>
        <v>0</v>
      </c>
      <c r="O49" s="56" t="str">
        <f t="shared" si="31"/>
        <v/>
      </c>
      <c r="P49" s="58" t="e">
        <f t="shared" si="32"/>
        <v>#VALUE!</v>
      </c>
      <c r="Q49" s="54">
        <v>330</v>
      </c>
      <c r="R49" s="55">
        <f t="shared" si="33"/>
        <v>0.94285714285714284</v>
      </c>
      <c r="S49" s="55" t="e">
        <f t="shared" si="34"/>
        <v>#VALUE!</v>
      </c>
      <c r="T49" s="54" t="e">
        <f t="shared" si="35"/>
        <v>#VALUE!</v>
      </c>
      <c r="U49" s="54">
        <v>3.5</v>
      </c>
      <c r="V49" s="55">
        <f t="shared" si="26"/>
        <v>0.58333333333333337</v>
      </c>
      <c r="W49" s="67" t="e">
        <f t="shared" si="27"/>
        <v>#VALUE!</v>
      </c>
      <c r="X49" s="44"/>
    </row>
    <row r="50" spans="1:24" ht="15" customHeight="1">
      <c r="A50" s="106"/>
      <c r="B50" s="94"/>
      <c r="C50" s="94"/>
      <c r="D50" s="94"/>
      <c r="E50" s="2"/>
      <c r="F50" s="37" t="str">
        <f t="shared" si="36"/>
        <v/>
      </c>
      <c r="G50" s="127"/>
      <c r="H50" s="127"/>
      <c r="I50" s="38" t="str">
        <f t="shared" si="37"/>
        <v/>
      </c>
      <c r="J50" s="2"/>
      <c r="K50" s="66">
        <v>3</v>
      </c>
      <c r="L50" s="56" t="str">
        <f t="shared" si="28"/>
        <v/>
      </c>
      <c r="M50" s="57">
        <f t="shared" si="29"/>
        <v>0</v>
      </c>
      <c r="N50" s="57">
        <f t="shared" si="30"/>
        <v>0</v>
      </c>
      <c r="O50" s="56" t="str">
        <f t="shared" si="31"/>
        <v/>
      </c>
      <c r="P50" s="58" t="e">
        <f t="shared" si="32"/>
        <v>#VALUE!</v>
      </c>
      <c r="Q50" s="54">
        <v>350</v>
      </c>
      <c r="R50" s="55">
        <f t="shared" si="33"/>
        <v>1</v>
      </c>
      <c r="S50" s="55" t="e">
        <f t="shared" si="34"/>
        <v>#VALUE!</v>
      </c>
      <c r="T50" s="54" t="e">
        <f t="shared" si="35"/>
        <v>#VALUE!</v>
      </c>
      <c r="U50" s="54">
        <v>2.5</v>
      </c>
      <c r="V50" s="55">
        <f t="shared" si="26"/>
        <v>0.41666666666666669</v>
      </c>
      <c r="W50" s="67" t="e">
        <f t="shared" si="27"/>
        <v>#VALUE!</v>
      </c>
      <c r="X50" s="44"/>
    </row>
    <row r="51" spans="1:24" ht="15" customHeight="1">
      <c r="A51" s="106"/>
      <c r="B51" s="94"/>
      <c r="C51" s="94"/>
      <c r="D51" s="94"/>
      <c r="E51" s="2"/>
      <c r="F51" s="37" t="str">
        <f t="shared" si="36"/>
        <v/>
      </c>
      <c r="G51" s="127"/>
      <c r="H51" s="127"/>
      <c r="I51" s="38" t="str">
        <f t="shared" si="37"/>
        <v/>
      </c>
      <c r="J51" s="2"/>
      <c r="K51" s="66">
        <v>4</v>
      </c>
      <c r="L51" s="56" t="str">
        <f t="shared" si="28"/>
        <v/>
      </c>
      <c r="M51" s="57">
        <f t="shared" si="29"/>
        <v>0</v>
      </c>
      <c r="N51" s="57">
        <f t="shared" si="30"/>
        <v>0</v>
      </c>
      <c r="O51" s="56" t="str">
        <f t="shared" si="31"/>
        <v/>
      </c>
      <c r="P51" s="58" t="e">
        <f t="shared" si="32"/>
        <v>#VALUE!</v>
      </c>
      <c r="Q51" s="54">
        <v>350</v>
      </c>
      <c r="R51" s="55">
        <f t="shared" si="33"/>
        <v>1</v>
      </c>
      <c r="S51" s="55" t="e">
        <f t="shared" si="34"/>
        <v>#VALUE!</v>
      </c>
      <c r="T51" s="54" t="e">
        <f t="shared" si="35"/>
        <v>#VALUE!</v>
      </c>
      <c r="U51" s="54">
        <v>1.5</v>
      </c>
      <c r="V51" s="55">
        <f t="shared" si="26"/>
        <v>0.25</v>
      </c>
      <c r="W51" s="67" t="e">
        <f t="shared" si="27"/>
        <v>#VALUE!</v>
      </c>
      <c r="X51" s="44"/>
    </row>
    <row r="52" spans="1:24" ht="15" customHeight="1">
      <c r="A52" s="106"/>
      <c r="B52" s="94"/>
      <c r="C52" s="94"/>
      <c r="D52" s="94"/>
      <c r="E52" s="2"/>
      <c r="F52" s="37" t="str">
        <f t="shared" si="36"/>
        <v/>
      </c>
      <c r="G52" s="127"/>
      <c r="H52" s="127"/>
      <c r="I52" s="38" t="str">
        <f t="shared" si="37"/>
        <v/>
      </c>
      <c r="J52" s="2"/>
      <c r="K52" s="66">
        <v>5</v>
      </c>
      <c r="L52" s="56" t="str">
        <f t="shared" si="28"/>
        <v/>
      </c>
      <c r="M52" s="57">
        <f t="shared" si="29"/>
        <v>0</v>
      </c>
      <c r="N52" s="57">
        <f t="shared" si="30"/>
        <v>0</v>
      </c>
      <c r="O52" s="56" t="str">
        <f t="shared" si="31"/>
        <v/>
      </c>
      <c r="P52" s="58" t="e">
        <f t="shared" si="32"/>
        <v>#VALUE!</v>
      </c>
      <c r="Q52" s="54">
        <v>350</v>
      </c>
      <c r="R52" s="55">
        <f t="shared" si="33"/>
        <v>1</v>
      </c>
      <c r="S52" s="55" t="e">
        <f t="shared" si="34"/>
        <v>#VALUE!</v>
      </c>
      <c r="T52" s="54" t="e">
        <f t="shared" si="35"/>
        <v>#VALUE!</v>
      </c>
      <c r="U52" s="54">
        <v>0.5</v>
      </c>
      <c r="V52" s="55">
        <f t="shared" si="26"/>
        <v>8.3333333333333329E-2</v>
      </c>
      <c r="W52" s="67" t="e">
        <f t="shared" si="27"/>
        <v>#VALUE!</v>
      </c>
      <c r="X52" s="44"/>
    </row>
    <row r="53" spans="1:24" ht="15" customHeight="1">
      <c r="A53" s="106"/>
      <c r="B53" s="94"/>
      <c r="C53" s="94"/>
      <c r="D53" s="94"/>
      <c r="E53" s="2"/>
      <c r="F53" s="37" t="str">
        <f t="shared" si="36"/>
        <v/>
      </c>
      <c r="G53" s="127"/>
      <c r="H53" s="127"/>
      <c r="I53" s="38" t="str">
        <f t="shared" si="37"/>
        <v/>
      </c>
      <c r="J53" s="2"/>
      <c r="K53" s="66">
        <v>6</v>
      </c>
      <c r="L53" s="56" t="str">
        <f t="shared" si="28"/>
        <v/>
      </c>
      <c r="M53" s="57">
        <f t="shared" si="29"/>
        <v>0</v>
      </c>
      <c r="N53" s="57">
        <f t="shared" si="30"/>
        <v>0</v>
      </c>
      <c r="O53" s="56" t="str">
        <f t="shared" si="31"/>
        <v/>
      </c>
      <c r="P53" s="58" t="e">
        <f t="shared" si="32"/>
        <v>#VALUE!</v>
      </c>
      <c r="Q53" s="54">
        <v>350</v>
      </c>
      <c r="R53" s="55">
        <f t="shared" si="33"/>
        <v>1</v>
      </c>
      <c r="S53" s="55" t="e">
        <f t="shared" si="34"/>
        <v>#VALUE!</v>
      </c>
      <c r="T53" s="54" t="e">
        <f t="shared" si="35"/>
        <v>#VALUE!</v>
      </c>
      <c r="U53" s="54">
        <v>-0.5</v>
      </c>
      <c r="V53" s="55">
        <f t="shared" si="26"/>
        <v>-8.3333333333333329E-2</v>
      </c>
      <c r="W53" s="67" t="e">
        <f t="shared" si="27"/>
        <v>#VALUE!</v>
      </c>
      <c r="X53" s="44"/>
    </row>
    <row r="54" spans="1:24" ht="15" customHeight="1">
      <c r="A54" s="106"/>
      <c r="B54" s="94"/>
      <c r="C54" s="94"/>
      <c r="D54" s="94"/>
      <c r="E54" s="2"/>
      <c r="F54" s="37" t="str">
        <f t="shared" si="36"/>
        <v/>
      </c>
      <c r="G54" s="127"/>
      <c r="H54" s="127"/>
      <c r="I54" s="38" t="str">
        <f t="shared" si="37"/>
        <v/>
      </c>
      <c r="J54" s="2"/>
      <c r="K54" s="66">
        <v>7</v>
      </c>
      <c r="L54" s="56" t="str">
        <f t="shared" si="28"/>
        <v/>
      </c>
      <c r="M54" s="57">
        <f t="shared" si="29"/>
        <v>0</v>
      </c>
      <c r="N54" s="57">
        <f t="shared" si="30"/>
        <v>0</v>
      </c>
      <c r="O54" s="56" t="str">
        <f t="shared" si="31"/>
        <v/>
      </c>
      <c r="P54" s="58" t="e">
        <f t="shared" si="32"/>
        <v>#VALUE!</v>
      </c>
      <c r="Q54" s="54">
        <v>350</v>
      </c>
      <c r="R54" s="55">
        <f t="shared" si="33"/>
        <v>1</v>
      </c>
      <c r="S54" s="55" t="e">
        <f t="shared" si="34"/>
        <v>#VALUE!</v>
      </c>
      <c r="T54" s="54" t="e">
        <f t="shared" si="35"/>
        <v>#VALUE!</v>
      </c>
      <c r="U54" s="54">
        <v>-1.5</v>
      </c>
      <c r="V54" s="55">
        <f t="shared" si="26"/>
        <v>-0.25</v>
      </c>
      <c r="W54" s="67" t="e">
        <f t="shared" si="27"/>
        <v>#VALUE!</v>
      </c>
      <c r="X54" s="44"/>
    </row>
    <row r="55" spans="1:24" ht="15" customHeight="1">
      <c r="A55" s="106"/>
      <c r="B55" s="94"/>
      <c r="C55" s="94"/>
      <c r="D55" s="94"/>
      <c r="E55" s="2"/>
      <c r="F55" s="37" t="str">
        <f t="shared" si="36"/>
        <v/>
      </c>
      <c r="G55" s="127"/>
      <c r="H55" s="127"/>
      <c r="I55" s="38" t="str">
        <f t="shared" si="37"/>
        <v/>
      </c>
      <c r="J55" s="2"/>
      <c r="K55" s="66">
        <v>8</v>
      </c>
      <c r="L55" s="56" t="str">
        <f t="shared" si="28"/>
        <v/>
      </c>
      <c r="M55" s="57">
        <f t="shared" si="29"/>
        <v>0</v>
      </c>
      <c r="N55" s="57">
        <f t="shared" si="30"/>
        <v>0</v>
      </c>
      <c r="O55" s="56" t="str">
        <f t="shared" si="31"/>
        <v/>
      </c>
      <c r="P55" s="58" t="e">
        <f t="shared" si="32"/>
        <v>#VALUE!</v>
      </c>
      <c r="Q55" s="54">
        <v>350</v>
      </c>
      <c r="R55" s="55">
        <f t="shared" si="33"/>
        <v>1</v>
      </c>
      <c r="S55" s="55" t="e">
        <f t="shared" si="34"/>
        <v>#VALUE!</v>
      </c>
      <c r="T55" s="54" t="e">
        <f t="shared" si="35"/>
        <v>#VALUE!</v>
      </c>
      <c r="U55" s="54">
        <v>-2.5</v>
      </c>
      <c r="V55" s="55">
        <f t="shared" si="26"/>
        <v>-0.41666666666666669</v>
      </c>
      <c r="W55" s="67" t="e">
        <f t="shared" si="27"/>
        <v>#VALUE!</v>
      </c>
      <c r="X55" s="44"/>
    </row>
    <row r="56" spans="1:24" ht="15" customHeight="1">
      <c r="A56" s="106"/>
      <c r="B56" s="94"/>
      <c r="C56" s="94"/>
      <c r="D56" s="94"/>
      <c r="E56" s="2"/>
      <c r="F56" s="37" t="str">
        <f t="shared" si="36"/>
        <v/>
      </c>
      <c r="G56" s="127"/>
      <c r="H56" s="127"/>
      <c r="I56" s="38" t="str">
        <f t="shared" si="37"/>
        <v/>
      </c>
      <c r="J56" s="2"/>
      <c r="K56" s="66">
        <v>9</v>
      </c>
      <c r="L56" s="56" t="str">
        <f t="shared" si="28"/>
        <v/>
      </c>
      <c r="M56" s="57">
        <f t="shared" si="29"/>
        <v>0</v>
      </c>
      <c r="N56" s="57">
        <f t="shared" si="30"/>
        <v>0</v>
      </c>
      <c r="O56" s="56" t="str">
        <f t="shared" si="31"/>
        <v/>
      </c>
      <c r="P56" s="58" t="e">
        <f t="shared" si="32"/>
        <v>#VALUE!</v>
      </c>
      <c r="Q56" s="54">
        <v>330</v>
      </c>
      <c r="R56" s="55">
        <f t="shared" si="33"/>
        <v>0.94285714285714284</v>
      </c>
      <c r="S56" s="55" t="e">
        <f t="shared" si="34"/>
        <v>#VALUE!</v>
      </c>
      <c r="T56" s="54" t="e">
        <f t="shared" si="35"/>
        <v>#VALUE!</v>
      </c>
      <c r="U56" s="54">
        <v>-3.5</v>
      </c>
      <c r="V56" s="55">
        <f t="shared" si="26"/>
        <v>-0.58333333333333337</v>
      </c>
      <c r="W56" s="67" t="e">
        <f t="shared" si="27"/>
        <v>#VALUE!</v>
      </c>
      <c r="X56" s="44"/>
    </row>
    <row r="57" spans="1:24" ht="15" customHeight="1">
      <c r="A57" s="2"/>
      <c r="B57" s="2"/>
      <c r="C57" s="2"/>
      <c r="D57" s="2"/>
      <c r="E57" s="2"/>
      <c r="F57" s="37" t="str">
        <f t="shared" si="36"/>
        <v/>
      </c>
      <c r="G57" s="127"/>
      <c r="H57" s="127"/>
      <c r="I57" s="38" t="str">
        <f t="shared" si="37"/>
        <v/>
      </c>
      <c r="J57" s="2"/>
      <c r="K57" s="66">
        <v>10</v>
      </c>
      <c r="L57" s="56" t="str">
        <f t="shared" si="28"/>
        <v/>
      </c>
      <c r="M57" s="57">
        <f t="shared" si="29"/>
        <v>0</v>
      </c>
      <c r="N57" s="57">
        <f t="shared" si="30"/>
        <v>0</v>
      </c>
      <c r="O57" s="56" t="str">
        <f t="shared" si="31"/>
        <v/>
      </c>
      <c r="P57" s="58" t="e">
        <f t="shared" si="32"/>
        <v>#VALUE!</v>
      </c>
      <c r="Q57" s="54">
        <v>300</v>
      </c>
      <c r="R57" s="55">
        <f t="shared" si="33"/>
        <v>0.8571428571428571</v>
      </c>
      <c r="S57" s="55" t="e">
        <f t="shared" si="34"/>
        <v>#VALUE!</v>
      </c>
      <c r="T57" s="54" t="e">
        <f t="shared" si="35"/>
        <v>#VALUE!</v>
      </c>
      <c r="U57" s="54">
        <v>-4.5</v>
      </c>
      <c r="V57" s="55">
        <f t="shared" si="26"/>
        <v>-0.75</v>
      </c>
      <c r="W57" s="67" t="e">
        <f t="shared" si="27"/>
        <v>#VALUE!</v>
      </c>
      <c r="X57" s="44"/>
    </row>
    <row r="58" spans="1:24" ht="15" customHeight="1" thickBot="1">
      <c r="A58" s="2"/>
      <c r="B58" s="2"/>
      <c r="C58" s="2"/>
      <c r="D58" s="2"/>
      <c r="E58" s="2"/>
      <c r="F58" s="34"/>
      <c r="G58" s="128"/>
      <c r="H58" s="40" t="str">
        <f>IF(G58="","",VLOOKUP(G58,$B$4:$C$48,2,))</f>
        <v/>
      </c>
      <c r="I58" s="35"/>
      <c r="J58" s="2"/>
      <c r="K58" s="66"/>
      <c r="L58" s="54">
        <v>3</v>
      </c>
      <c r="M58" s="11"/>
      <c r="N58" s="11"/>
      <c r="O58" s="53"/>
      <c r="P58" s="54">
        <f t="shared" si="32"/>
        <v>-3</v>
      </c>
      <c r="Q58" s="54">
        <v>420</v>
      </c>
      <c r="R58" s="55">
        <f t="shared" si="33"/>
        <v>1.2</v>
      </c>
      <c r="S58" s="55">
        <f t="shared" si="34"/>
        <v>-3.5999999999999996</v>
      </c>
      <c r="T58" s="54" t="e">
        <f>H58+7</f>
        <v>#VALUE!</v>
      </c>
      <c r="U58" s="54">
        <v>-6</v>
      </c>
      <c r="V58" s="55">
        <f t="shared" si="26"/>
        <v>-1</v>
      </c>
      <c r="W58" s="67" t="e">
        <f t="shared" si="27"/>
        <v>#VALUE!</v>
      </c>
      <c r="X58" s="44"/>
    </row>
    <row r="59" spans="1:24" ht="15" customHeight="1" thickBot="1">
      <c r="A59" s="2"/>
      <c r="B59" s="2"/>
      <c r="C59" s="2"/>
      <c r="D59" s="2"/>
      <c r="E59" s="2"/>
      <c r="F59" s="2"/>
      <c r="G59" s="2"/>
      <c r="H59" s="2"/>
      <c r="I59" s="2"/>
      <c r="J59" s="2"/>
      <c r="K59" s="68"/>
      <c r="L59" s="69">
        <f>SUM(L48:L58)</f>
        <v>3</v>
      </c>
      <c r="M59" s="70"/>
      <c r="N59" s="70"/>
      <c r="O59" s="69">
        <f>SUM(O48:O58)</f>
        <v>0</v>
      </c>
      <c r="P59" s="71"/>
      <c r="Q59" s="71"/>
      <c r="R59" s="71"/>
      <c r="S59" s="76" t="e">
        <f>SUM(S48:S58)</f>
        <v>#VALUE!</v>
      </c>
      <c r="T59" s="71"/>
      <c r="U59" s="71"/>
      <c r="V59" s="72"/>
      <c r="W59" s="77" t="e">
        <f>SUM(W47:W58)</f>
        <v>#VALUE!</v>
      </c>
      <c r="X59" s="44"/>
    </row>
    <row r="60" spans="1:24" ht="15" customHeight="1">
      <c r="A60" s="2"/>
      <c r="B60" s="2"/>
      <c r="C60" s="2"/>
      <c r="D60" s="2"/>
      <c r="E60" s="2"/>
      <c r="F60" s="42" t="s">
        <v>6</v>
      </c>
      <c r="G60" s="2"/>
      <c r="H60" s="2"/>
      <c r="I60" s="2"/>
      <c r="J60" s="2"/>
      <c r="K60" s="46"/>
      <c r="L60" s="47" t="s">
        <v>7</v>
      </c>
      <c r="M60" s="50"/>
      <c r="N60" s="51"/>
      <c r="O60" s="45">
        <v>87</v>
      </c>
      <c r="P60" s="48"/>
      <c r="Q60" s="48"/>
      <c r="R60" s="48"/>
      <c r="S60" s="52" t="s">
        <v>8</v>
      </c>
      <c r="T60" s="48"/>
      <c r="U60" s="48"/>
      <c r="V60" s="48"/>
      <c r="W60" s="52" t="s">
        <v>9</v>
      </c>
      <c r="X60" s="44"/>
    </row>
    <row r="61" spans="1:24" ht="15" customHeight="1">
      <c r="A61" s="2"/>
      <c r="B61" s="2"/>
      <c r="C61" s="2"/>
      <c r="D61" s="2"/>
      <c r="E61" s="2"/>
      <c r="F61" s="2"/>
      <c r="G61" s="127"/>
      <c r="H61" s="36" t="str">
        <f>IF(G61="","",VLOOKUP(G61,$B$4:$C$29,2,))</f>
        <v/>
      </c>
      <c r="I61" s="2"/>
      <c r="J61" s="2"/>
      <c r="K61" s="46"/>
      <c r="L61" s="58" t="str">
        <f>H61</f>
        <v/>
      </c>
      <c r="M61" s="73">
        <f>G61</f>
        <v>0</v>
      </c>
      <c r="N61" s="146" t="s">
        <v>10</v>
      </c>
      <c r="O61" s="147"/>
      <c r="P61" s="148"/>
      <c r="Q61" s="74">
        <f>SUM(O48:O57,L48:L57)</f>
        <v>0</v>
      </c>
      <c r="R61" s="48"/>
      <c r="S61" s="52" t="s">
        <v>11</v>
      </c>
      <c r="T61" s="48"/>
      <c r="U61" s="49"/>
      <c r="V61" s="48"/>
      <c r="W61" s="52" t="s">
        <v>11</v>
      </c>
      <c r="X61" s="44"/>
    </row>
    <row r="62" spans="1:24" ht="15" customHeight="1">
      <c r="A62" s="2"/>
      <c r="B62" s="2"/>
      <c r="C62" s="2"/>
      <c r="D62" s="2"/>
      <c r="E62" s="2"/>
      <c r="F62" s="2"/>
      <c r="G62" s="127"/>
      <c r="H62" s="36" t="str">
        <f t="shared" ref="H62:H64" si="38">IF(G62="","",VLOOKUP(G62,$B$4:$C$29,2,))</f>
        <v/>
      </c>
      <c r="I62" s="2"/>
      <c r="J62" s="2"/>
      <c r="K62" s="46"/>
      <c r="L62" s="58" t="str">
        <f>H62</f>
        <v/>
      </c>
      <c r="M62" s="73">
        <f>G62</f>
        <v>0</v>
      </c>
      <c r="N62" s="146" t="s">
        <v>12</v>
      </c>
      <c r="O62" s="147"/>
      <c r="P62" s="148"/>
      <c r="Q62" s="74">
        <f>SUM(O48:O57,L48:L57)/20</f>
        <v>0</v>
      </c>
      <c r="R62" s="49"/>
      <c r="S62" s="107" t="s">
        <v>84</v>
      </c>
      <c r="T62" s="49"/>
      <c r="U62" s="49"/>
      <c r="V62" s="48"/>
      <c r="W62" s="107" t="s">
        <v>85</v>
      </c>
      <c r="X62" s="44"/>
    </row>
    <row r="63" spans="1:24" ht="15" customHeight="1">
      <c r="A63" s="2"/>
      <c r="B63" s="2"/>
      <c r="C63" s="2"/>
      <c r="D63" s="2"/>
      <c r="E63" s="2"/>
      <c r="F63" s="2"/>
      <c r="G63" s="127"/>
      <c r="H63" s="36" t="str">
        <f t="shared" si="38"/>
        <v/>
      </c>
      <c r="I63" s="2"/>
      <c r="J63" s="2"/>
      <c r="K63" s="46"/>
      <c r="L63" s="58" t="str">
        <f>H63</f>
        <v/>
      </c>
      <c r="M63" s="73">
        <f>G63</f>
        <v>0</v>
      </c>
      <c r="N63" s="146" t="s">
        <v>13</v>
      </c>
      <c r="O63" s="147"/>
      <c r="P63" s="148"/>
      <c r="Q63" s="74" t="e">
        <f>SUM(Q61,T58,T47,650)</f>
        <v>#VALUE!</v>
      </c>
      <c r="R63" s="49"/>
      <c r="S63" s="49"/>
      <c r="T63" s="49"/>
      <c r="U63" s="49"/>
      <c r="V63" s="48"/>
      <c r="W63" s="48"/>
      <c r="X63" s="44"/>
    </row>
    <row r="64" spans="1:24" ht="15" customHeight="1">
      <c r="A64" s="2"/>
      <c r="B64" s="2"/>
      <c r="C64" s="2"/>
      <c r="D64" s="2"/>
      <c r="E64" s="2"/>
      <c r="F64" s="2"/>
      <c r="G64" s="127"/>
      <c r="H64" s="36" t="str">
        <f t="shared" si="38"/>
        <v/>
      </c>
      <c r="I64" s="2"/>
      <c r="J64" s="2"/>
      <c r="K64" s="46"/>
      <c r="L64" s="58" t="str">
        <f>H64</f>
        <v/>
      </c>
      <c r="M64" s="73">
        <f>G64</f>
        <v>0</v>
      </c>
      <c r="N64" s="146" t="s">
        <v>14</v>
      </c>
      <c r="O64" s="147"/>
      <c r="P64" s="148"/>
      <c r="Q64" s="75" t="e">
        <f>SUM(Q61,T58,T47,650)/20</f>
        <v>#VALUE!</v>
      </c>
      <c r="R64" s="49"/>
      <c r="S64" s="49"/>
      <c r="T64" s="49"/>
      <c r="U64" s="49"/>
      <c r="V64" s="48"/>
      <c r="W64" s="48"/>
      <c r="X64" s="44"/>
    </row>
    <row r="65" spans="6:24" ht="15" customHeight="1">
      <c r="X65" s="44"/>
    </row>
    <row r="66" spans="6:24" ht="15" customHeight="1"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</sheetData>
  <mergeCells count="14">
    <mergeCell ref="G2:P2"/>
    <mergeCell ref="N42:P42"/>
    <mergeCell ref="N43:P43"/>
    <mergeCell ref="N62:P62"/>
    <mergeCell ref="N63:P63"/>
    <mergeCell ref="N19:P19"/>
    <mergeCell ref="N20:P20"/>
    <mergeCell ref="N21:P21"/>
    <mergeCell ref="N22:P22"/>
    <mergeCell ref="N64:P64"/>
    <mergeCell ref="N40:P40"/>
    <mergeCell ref="N41:P41"/>
    <mergeCell ref="N61:P61"/>
    <mergeCell ref="G3:P3"/>
  </mergeCells>
  <conditionalFormatting sqref="D4:D56">
    <cfRule type="containsText" dxfId="7" priority="5" operator="containsText" text="sweep">
      <formula>NOT(ISERROR(SEARCH("sweep",D4)))</formula>
    </cfRule>
    <cfRule type="containsText" dxfId="6" priority="6" operator="containsText" text="drum">
      <formula>NOT(ISERROR(SEARCH("drum",D4)))</formula>
    </cfRule>
  </conditionalFormatting>
  <pageMargins left="0.7" right="0.7" top="0.75" bottom="0.75" header="0.3" footer="0.3"/>
  <pageSetup orientation="portrait" r:id="rId1"/>
  <headerFooter>
    <oddFooter>&amp;C&amp;"Helvetica Neue,Regular"&amp;12&amp;K000000&amp;P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V66"/>
  <sheetViews>
    <sheetView zoomScaleNormal="100" workbookViewId="0">
      <selection activeCell="G19" sqref="G19:G20"/>
    </sheetView>
  </sheetViews>
  <sheetFormatPr defaultColWidth="8.85546875" defaultRowHeight="15"/>
  <cols>
    <col min="1" max="1" width="4.5703125" style="2" customWidth="1"/>
    <col min="2" max="2" width="24.140625" style="2" customWidth="1"/>
    <col min="3" max="3" width="7.5703125" style="2" bestFit="1" customWidth="1"/>
    <col min="4" max="4" width="11.140625" style="2" bestFit="1" customWidth="1"/>
    <col min="5" max="256" width="8.85546875" style="2" customWidth="1"/>
  </cols>
  <sheetData>
    <row r="1" spans="1:24" ht="15" customHeight="1"/>
    <row r="2" spans="1:24" ht="15" customHeight="1">
      <c r="F2" s="41"/>
      <c r="G2" s="151" t="s">
        <v>83</v>
      </c>
      <c r="H2" s="151"/>
      <c r="I2" s="151"/>
      <c r="J2" s="151"/>
      <c r="K2" s="151"/>
      <c r="L2" s="151"/>
      <c r="M2" s="151"/>
      <c r="N2" s="151"/>
      <c r="O2" s="151"/>
      <c r="P2" s="151"/>
    </row>
    <row r="3" spans="1:24" ht="15" customHeight="1">
      <c r="A3" s="108" t="s">
        <v>79</v>
      </c>
      <c r="B3" s="30" t="s">
        <v>0</v>
      </c>
      <c r="C3" s="31" t="s">
        <v>19</v>
      </c>
      <c r="D3" s="31" t="s">
        <v>21</v>
      </c>
      <c r="F3" s="44"/>
      <c r="G3" s="149"/>
      <c r="H3" s="149"/>
      <c r="I3" s="149"/>
      <c r="J3" s="149"/>
      <c r="K3" s="149"/>
      <c r="L3" s="149"/>
      <c r="M3" s="149"/>
      <c r="N3" s="149"/>
      <c r="O3" s="149"/>
      <c r="P3" s="149"/>
    </row>
    <row r="4" spans="1:24" ht="16.5" customHeight="1" thickBot="1">
      <c r="A4" s="6">
        <v>1</v>
      </c>
      <c r="B4" s="7" t="str">
        <f>IF(Allocation!G3="","",VLOOKUP(A4,Allocation!$A$2:$I$47,3))</f>
        <v/>
      </c>
      <c r="C4" s="6" t="str">
        <f>IF(B4="","",VLOOKUP(A4,Allocation!$A$2:$I$47,4,))</f>
        <v/>
      </c>
      <c r="D4" s="6" t="str">
        <f>IF(B4="","",VLOOKUP(A4,Allocation!$A$2:$I$47,7,))</f>
        <v/>
      </c>
      <c r="F4" s="43" t="s">
        <v>2</v>
      </c>
    </row>
    <row r="5" spans="1:24" ht="15.75" customHeight="1">
      <c r="A5" s="6">
        <v>2</v>
      </c>
      <c r="B5" s="7" t="str">
        <f>IF(Allocation!G4="","",VLOOKUP(A5,Allocation!$A$2:$I$47,3))</f>
        <v/>
      </c>
      <c r="C5" s="6" t="str">
        <f>IF(B5="","",VLOOKUP(A5,Allocation!$A$2:$I$47,4,))</f>
        <v/>
      </c>
      <c r="D5" s="6" t="str">
        <f>IF(B5="","",VLOOKUP(A5,Allocation!$A$2:$I$47,7,))</f>
        <v/>
      </c>
      <c r="F5" s="32"/>
      <c r="G5" s="126"/>
      <c r="H5" s="39" t="str">
        <f>IF(G5="","",VLOOKUP(G5,$B$4:$C$48,2,))</f>
        <v/>
      </c>
      <c r="I5" s="33"/>
      <c r="K5" s="59"/>
      <c r="L5" s="60" t="s">
        <v>3</v>
      </c>
      <c r="M5" s="61" t="s">
        <v>4</v>
      </c>
      <c r="N5" s="61" t="s">
        <v>5</v>
      </c>
      <c r="O5" s="60" t="s">
        <v>3</v>
      </c>
      <c r="P5" s="62"/>
      <c r="Q5" s="62"/>
      <c r="R5" s="62"/>
      <c r="S5" s="62"/>
      <c r="T5" s="63" t="e">
        <f>H5+14</f>
        <v>#VALUE!</v>
      </c>
      <c r="U5" s="63">
        <v>6</v>
      </c>
      <c r="V5" s="64">
        <f t="shared" ref="V5:V16" si="0">(U5)/6</f>
        <v>1</v>
      </c>
      <c r="W5" s="65" t="e">
        <f t="shared" ref="W5:W16" si="1">V5*T5</f>
        <v>#VALUE!</v>
      </c>
      <c r="X5" s="44"/>
    </row>
    <row r="6" spans="1:24" ht="15" customHeight="1">
      <c r="A6" s="6">
        <v>3</v>
      </c>
      <c r="B6" s="7" t="str">
        <f>IF(Allocation!G5="","",VLOOKUP(A6,Allocation!$A$2:$I$47,3))</f>
        <v/>
      </c>
      <c r="C6" s="6" t="str">
        <f>IF(B6="","",VLOOKUP(A6,Allocation!$A$2:$I$47,4,))</f>
        <v/>
      </c>
      <c r="D6" s="6" t="str">
        <f>IF(B6="","",VLOOKUP(A6,Allocation!$A$2:$I$47,7,))</f>
        <v/>
      </c>
      <c r="F6" s="37" t="str">
        <f>IF(G6="","",VLOOKUP(G6,$B$4:$C$48,2,))</f>
        <v/>
      </c>
      <c r="G6" s="127"/>
      <c r="H6" s="127"/>
      <c r="I6" s="38" t="str">
        <f>IF(H6="","",VLOOKUP(H6,$B$4:$C$48,2,))</f>
        <v/>
      </c>
      <c r="K6" s="66">
        <v>1</v>
      </c>
      <c r="L6" s="56" t="str">
        <f t="shared" ref="L6:O15" si="2">F6</f>
        <v/>
      </c>
      <c r="M6" s="57">
        <f t="shared" si="2"/>
        <v>0</v>
      </c>
      <c r="N6" s="57">
        <f t="shared" si="2"/>
        <v>0</v>
      </c>
      <c r="O6" s="56" t="str">
        <f t="shared" si="2"/>
        <v/>
      </c>
      <c r="P6" s="58" t="e">
        <f t="shared" ref="P6:P16" si="3">O6-L6</f>
        <v>#VALUE!</v>
      </c>
      <c r="Q6" s="54">
        <v>300</v>
      </c>
      <c r="R6" s="55">
        <f t="shared" ref="R6:R16" si="4">Q6/350</f>
        <v>0.8571428571428571</v>
      </c>
      <c r="S6" s="55" t="e">
        <f t="shared" ref="S6:S16" si="5">P6*R6</f>
        <v>#VALUE!</v>
      </c>
      <c r="T6" s="54" t="e">
        <f t="shared" ref="T6:T15" si="6">L6+O6</f>
        <v>#VALUE!</v>
      </c>
      <c r="U6" s="54">
        <v>4.5</v>
      </c>
      <c r="V6" s="55">
        <f t="shared" si="0"/>
        <v>0.75</v>
      </c>
      <c r="W6" s="67" t="e">
        <f t="shared" si="1"/>
        <v>#VALUE!</v>
      </c>
      <c r="X6" s="44"/>
    </row>
    <row r="7" spans="1:24" ht="15" customHeight="1">
      <c r="A7" s="6">
        <v>4</v>
      </c>
      <c r="B7" s="7" t="str">
        <f>IF(Allocation!G6="","",VLOOKUP(A7,Allocation!$A$2:$I$47,3))</f>
        <v/>
      </c>
      <c r="C7" s="6" t="str">
        <f>IF(B7="","",VLOOKUP(A7,Allocation!$A$2:$I$47,4,))</f>
        <v/>
      </c>
      <c r="D7" s="6" t="str">
        <f>IF(B7="","",VLOOKUP(A7,Allocation!$A$2:$I$47,7,))</f>
        <v/>
      </c>
      <c r="F7" s="37" t="str">
        <f t="shared" ref="F7:F15" si="7">IF(G7="","",VLOOKUP(G7,$B$4:$C$48,2,))</f>
        <v/>
      </c>
      <c r="G7" s="127"/>
      <c r="H7" s="127"/>
      <c r="I7" s="38" t="str">
        <f t="shared" ref="I7:I15" si="8">IF(H7="","",VLOOKUP(H7,$B$4:$C$29,2,))</f>
        <v/>
      </c>
      <c r="K7" s="66">
        <v>2</v>
      </c>
      <c r="L7" s="56" t="str">
        <f t="shared" si="2"/>
        <v/>
      </c>
      <c r="M7" s="57">
        <f t="shared" si="2"/>
        <v>0</v>
      </c>
      <c r="N7" s="57">
        <f t="shared" si="2"/>
        <v>0</v>
      </c>
      <c r="O7" s="56" t="str">
        <f t="shared" si="2"/>
        <v/>
      </c>
      <c r="P7" s="58" t="e">
        <f t="shared" si="3"/>
        <v>#VALUE!</v>
      </c>
      <c r="Q7" s="54">
        <v>330</v>
      </c>
      <c r="R7" s="55">
        <f t="shared" si="4"/>
        <v>0.94285714285714284</v>
      </c>
      <c r="S7" s="55" t="e">
        <f t="shared" si="5"/>
        <v>#VALUE!</v>
      </c>
      <c r="T7" s="54" t="e">
        <f t="shared" si="6"/>
        <v>#VALUE!</v>
      </c>
      <c r="U7" s="54">
        <v>3.5</v>
      </c>
      <c r="V7" s="55">
        <f t="shared" si="0"/>
        <v>0.58333333333333337</v>
      </c>
      <c r="W7" s="67" t="e">
        <f t="shared" si="1"/>
        <v>#VALUE!</v>
      </c>
      <c r="X7" s="44"/>
    </row>
    <row r="8" spans="1:24" ht="15" customHeight="1">
      <c r="A8" s="6">
        <v>5</v>
      </c>
      <c r="B8" s="7" t="str">
        <f>IF(Allocation!G7="","",VLOOKUP(A8,Allocation!$A$2:$I$47,3))</f>
        <v/>
      </c>
      <c r="C8" s="6" t="str">
        <f>IF(B8="","",VLOOKUP(A8,Allocation!$A$2:$I$47,4,))</f>
        <v/>
      </c>
      <c r="D8" s="6" t="str">
        <f>IF(B8="","",VLOOKUP(A8,Allocation!$A$2:$I$47,7,))</f>
        <v/>
      </c>
      <c r="F8" s="37" t="str">
        <f t="shared" si="7"/>
        <v/>
      </c>
      <c r="G8" s="127"/>
      <c r="H8" s="127"/>
      <c r="I8" s="38" t="str">
        <f t="shared" si="8"/>
        <v/>
      </c>
      <c r="K8" s="66">
        <v>3</v>
      </c>
      <c r="L8" s="56" t="str">
        <f t="shared" si="2"/>
        <v/>
      </c>
      <c r="M8" s="57">
        <f t="shared" si="2"/>
        <v>0</v>
      </c>
      <c r="N8" s="57">
        <f t="shared" si="2"/>
        <v>0</v>
      </c>
      <c r="O8" s="56" t="str">
        <f t="shared" si="2"/>
        <v/>
      </c>
      <c r="P8" s="58" t="e">
        <f t="shared" si="3"/>
        <v>#VALUE!</v>
      </c>
      <c r="Q8" s="54">
        <v>350</v>
      </c>
      <c r="R8" s="55">
        <f t="shared" si="4"/>
        <v>1</v>
      </c>
      <c r="S8" s="55" t="e">
        <f t="shared" si="5"/>
        <v>#VALUE!</v>
      </c>
      <c r="T8" s="54" t="e">
        <f t="shared" si="6"/>
        <v>#VALUE!</v>
      </c>
      <c r="U8" s="54">
        <v>2.5</v>
      </c>
      <c r="V8" s="55">
        <f t="shared" si="0"/>
        <v>0.41666666666666669</v>
      </c>
      <c r="W8" s="67" t="e">
        <f t="shared" si="1"/>
        <v>#VALUE!</v>
      </c>
      <c r="X8" s="44"/>
    </row>
    <row r="9" spans="1:24" ht="15" customHeight="1">
      <c r="A9" s="6">
        <v>6</v>
      </c>
      <c r="B9" s="7" t="str">
        <f>IF(Allocation!G8="","",VLOOKUP(A9,Allocation!$A$2:$I$47,3))</f>
        <v/>
      </c>
      <c r="C9" s="6" t="str">
        <f>IF(B9="","",VLOOKUP(A9,Allocation!$A$2:$I$47,4,))</f>
        <v/>
      </c>
      <c r="D9" s="6" t="str">
        <f>IF(B9="","",VLOOKUP(A9,Allocation!$A$2:$I$47,7,))</f>
        <v/>
      </c>
      <c r="F9" s="37" t="str">
        <f t="shared" si="7"/>
        <v/>
      </c>
      <c r="G9" s="127"/>
      <c r="H9" s="127"/>
      <c r="I9" s="38" t="str">
        <f t="shared" si="8"/>
        <v/>
      </c>
      <c r="K9" s="66">
        <v>4</v>
      </c>
      <c r="L9" s="56" t="str">
        <f t="shared" si="2"/>
        <v/>
      </c>
      <c r="M9" s="57">
        <f t="shared" si="2"/>
        <v>0</v>
      </c>
      <c r="N9" s="57">
        <f t="shared" si="2"/>
        <v>0</v>
      </c>
      <c r="O9" s="56" t="str">
        <f t="shared" si="2"/>
        <v/>
      </c>
      <c r="P9" s="58" t="e">
        <f t="shared" si="3"/>
        <v>#VALUE!</v>
      </c>
      <c r="Q9" s="54">
        <v>350</v>
      </c>
      <c r="R9" s="55">
        <f t="shared" si="4"/>
        <v>1</v>
      </c>
      <c r="S9" s="55" t="e">
        <f t="shared" si="5"/>
        <v>#VALUE!</v>
      </c>
      <c r="T9" s="54" t="e">
        <f t="shared" si="6"/>
        <v>#VALUE!</v>
      </c>
      <c r="U9" s="54">
        <v>1.5</v>
      </c>
      <c r="V9" s="55">
        <f t="shared" si="0"/>
        <v>0.25</v>
      </c>
      <c r="W9" s="67" t="e">
        <f t="shared" si="1"/>
        <v>#VALUE!</v>
      </c>
      <c r="X9" s="44"/>
    </row>
    <row r="10" spans="1:24" ht="15" customHeight="1">
      <c r="A10" s="6">
        <v>7</v>
      </c>
      <c r="B10" s="7" t="str">
        <f>IF(Allocation!G9="","",VLOOKUP(A10,Allocation!$A$2:$I$47,3))</f>
        <v/>
      </c>
      <c r="C10" s="6" t="str">
        <f>IF(B10="","",VLOOKUP(A10,Allocation!$A$2:$I$47,4,))</f>
        <v/>
      </c>
      <c r="D10" s="6" t="str">
        <f>IF(B10="","",VLOOKUP(A10,Allocation!$A$2:$I$47,7,))</f>
        <v/>
      </c>
      <c r="F10" s="37" t="str">
        <f t="shared" si="7"/>
        <v/>
      </c>
      <c r="G10" s="127"/>
      <c r="H10" s="127"/>
      <c r="I10" s="38" t="str">
        <f t="shared" si="8"/>
        <v/>
      </c>
      <c r="K10" s="66">
        <v>5</v>
      </c>
      <c r="L10" s="56" t="str">
        <f t="shared" si="2"/>
        <v/>
      </c>
      <c r="M10" s="57">
        <f t="shared" si="2"/>
        <v>0</v>
      </c>
      <c r="N10" s="57">
        <f t="shared" si="2"/>
        <v>0</v>
      </c>
      <c r="O10" s="56" t="str">
        <f t="shared" si="2"/>
        <v/>
      </c>
      <c r="P10" s="58" t="e">
        <f t="shared" si="3"/>
        <v>#VALUE!</v>
      </c>
      <c r="Q10" s="54">
        <v>350</v>
      </c>
      <c r="R10" s="55">
        <f t="shared" si="4"/>
        <v>1</v>
      </c>
      <c r="S10" s="55" t="e">
        <f t="shared" si="5"/>
        <v>#VALUE!</v>
      </c>
      <c r="T10" s="54" t="e">
        <f t="shared" si="6"/>
        <v>#VALUE!</v>
      </c>
      <c r="U10" s="54">
        <v>0.5</v>
      </c>
      <c r="V10" s="55">
        <f t="shared" si="0"/>
        <v>8.3333333333333329E-2</v>
      </c>
      <c r="W10" s="67" t="e">
        <f t="shared" si="1"/>
        <v>#VALUE!</v>
      </c>
      <c r="X10" s="44"/>
    </row>
    <row r="11" spans="1:24" ht="15" customHeight="1">
      <c r="A11" s="6">
        <v>8</v>
      </c>
      <c r="B11" s="7" t="str">
        <f>IF(Allocation!G10="","",VLOOKUP(A11,Allocation!$A$2:$I$47,3))</f>
        <v/>
      </c>
      <c r="C11" s="6" t="str">
        <f>IF(B11="","",VLOOKUP(A11,Allocation!$A$2:$I$47,4,))</f>
        <v/>
      </c>
      <c r="D11" s="6" t="str">
        <f>IF(B11="","",VLOOKUP(A11,Allocation!$A$2:$I$47,7,))</f>
        <v/>
      </c>
      <c r="F11" s="37" t="str">
        <f t="shared" si="7"/>
        <v/>
      </c>
      <c r="G11" s="127"/>
      <c r="H11" s="127"/>
      <c r="I11" s="38" t="str">
        <f t="shared" si="8"/>
        <v/>
      </c>
      <c r="K11" s="66">
        <v>6</v>
      </c>
      <c r="L11" s="56" t="str">
        <f t="shared" si="2"/>
        <v/>
      </c>
      <c r="M11" s="57">
        <f t="shared" si="2"/>
        <v>0</v>
      </c>
      <c r="N11" s="57">
        <f t="shared" si="2"/>
        <v>0</v>
      </c>
      <c r="O11" s="56" t="str">
        <f t="shared" si="2"/>
        <v/>
      </c>
      <c r="P11" s="58" t="e">
        <f t="shared" si="3"/>
        <v>#VALUE!</v>
      </c>
      <c r="Q11" s="54">
        <v>350</v>
      </c>
      <c r="R11" s="55">
        <f t="shared" si="4"/>
        <v>1</v>
      </c>
      <c r="S11" s="55" t="e">
        <f t="shared" si="5"/>
        <v>#VALUE!</v>
      </c>
      <c r="T11" s="54" t="e">
        <f t="shared" si="6"/>
        <v>#VALUE!</v>
      </c>
      <c r="U11" s="54">
        <v>-0.5</v>
      </c>
      <c r="V11" s="55">
        <f t="shared" si="0"/>
        <v>-8.3333333333333329E-2</v>
      </c>
      <c r="W11" s="67" t="e">
        <f t="shared" si="1"/>
        <v>#VALUE!</v>
      </c>
      <c r="X11" s="44"/>
    </row>
    <row r="12" spans="1:24" ht="15" customHeight="1">
      <c r="A12" s="6">
        <v>9</v>
      </c>
      <c r="B12" s="7" t="str">
        <f>IF(Allocation!G11="","",VLOOKUP(A12,Allocation!$A$2:$I$47,3))</f>
        <v/>
      </c>
      <c r="C12" s="6" t="str">
        <f>IF(B12="","",VLOOKUP(A12,Allocation!$A$2:$I$47,4,))</f>
        <v/>
      </c>
      <c r="D12" s="6" t="str">
        <f>IF(B12="","",VLOOKUP(A12,Allocation!$A$2:$I$47,7,))</f>
        <v/>
      </c>
      <c r="F12" s="37" t="str">
        <f t="shared" si="7"/>
        <v/>
      </c>
      <c r="G12" s="127"/>
      <c r="H12" s="127"/>
      <c r="I12" s="38" t="str">
        <f t="shared" si="8"/>
        <v/>
      </c>
      <c r="K12" s="66">
        <v>7</v>
      </c>
      <c r="L12" s="56" t="str">
        <f t="shared" si="2"/>
        <v/>
      </c>
      <c r="M12" s="57">
        <f t="shared" si="2"/>
        <v>0</v>
      </c>
      <c r="N12" s="57">
        <f t="shared" si="2"/>
        <v>0</v>
      </c>
      <c r="O12" s="56" t="str">
        <f t="shared" si="2"/>
        <v/>
      </c>
      <c r="P12" s="58" t="e">
        <f t="shared" si="3"/>
        <v>#VALUE!</v>
      </c>
      <c r="Q12" s="54">
        <v>350</v>
      </c>
      <c r="R12" s="55">
        <f t="shared" si="4"/>
        <v>1</v>
      </c>
      <c r="S12" s="55" t="e">
        <f t="shared" si="5"/>
        <v>#VALUE!</v>
      </c>
      <c r="T12" s="54" t="e">
        <f t="shared" si="6"/>
        <v>#VALUE!</v>
      </c>
      <c r="U12" s="54">
        <v>-1.5</v>
      </c>
      <c r="V12" s="55">
        <f t="shared" si="0"/>
        <v>-0.25</v>
      </c>
      <c r="W12" s="67" t="e">
        <f t="shared" si="1"/>
        <v>#VALUE!</v>
      </c>
      <c r="X12" s="44"/>
    </row>
    <row r="13" spans="1:24" ht="15" customHeight="1">
      <c r="A13" s="6">
        <v>10</v>
      </c>
      <c r="B13" s="7" t="str">
        <f>IF(Allocation!G12="","",VLOOKUP(A13,Allocation!$A$2:$I$47,3))</f>
        <v/>
      </c>
      <c r="C13" s="6" t="str">
        <f>IF(B13="","",VLOOKUP(A13,Allocation!$A$2:$I$47,4,))</f>
        <v/>
      </c>
      <c r="D13" s="6" t="str">
        <f>IF(B13="","",VLOOKUP(A13,Allocation!$A$2:$I$47,7,))</f>
        <v/>
      </c>
      <c r="F13" s="37" t="str">
        <f t="shared" si="7"/>
        <v/>
      </c>
      <c r="G13" s="127"/>
      <c r="H13" s="127"/>
      <c r="I13" s="38" t="str">
        <f t="shared" si="8"/>
        <v/>
      </c>
      <c r="K13" s="66">
        <v>8</v>
      </c>
      <c r="L13" s="56" t="str">
        <f t="shared" si="2"/>
        <v/>
      </c>
      <c r="M13" s="57">
        <f t="shared" si="2"/>
        <v>0</v>
      </c>
      <c r="N13" s="57">
        <f t="shared" si="2"/>
        <v>0</v>
      </c>
      <c r="O13" s="56" t="str">
        <f t="shared" si="2"/>
        <v/>
      </c>
      <c r="P13" s="58" t="e">
        <f t="shared" si="3"/>
        <v>#VALUE!</v>
      </c>
      <c r="Q13" s="54">
        <v>350</v>
      </c>
      <c r="R13" s="55">
        <f t="shared" si="4"/>
        <v>1</v>
      </c>
      <c r="S13" s="55" t="e">
        <f t="shared" si="5"/>
        <v>#VALUE!</v>
      </c>
      <c r="T13" s="54" t="e">
        <f t="shared" si="6"/>
        <v>#VALUE!</v>
      </c>
      <c r="U13" s="54">
        <v>-2.5</v>
      </c>
      <c r="V13" s="55">
        <f t="shared" si="0"/>
        <v>-0.41666666666666669</v>
      </c>
      <c r="W13" s="67" t="e">
        <f t="shared" si="1"/>
        <v>#VALUE!</v>
      </c>
      <c r="X13" s="44"/>
    </row>
    <row r="14" spans="1:24" ht="15" customHeight="1">
      <c r="A14" s="6">
        <v>11</v>
      </c>
      <c r="B14" s="7" t="str">
        <f>IF(Allocation!G13="","",VLOOKUP(A14,Allocation!$A$2:$I$47,3))</f>
        <v/>
      </c>
      <c r="C14" s="6" t="str">
        <f>IF(B14="","",VLOOKUP(A14,Allocation!$A$2:$I$47,4,))</f>
        <v/>
      </c>
      <c r="D14" s="6" t="str">
        <f>IF(B14="","",VLOOKUP(A14,Allocation!$A$2:$I$47,7,))</f>
        <v/>
      </c>
      <c r="F14" s="37" t="str">
        <f t="shared" si="7"/>
        <v/>
      </c>
      <c r="G14" s="127"/>
      <c r="H14" s="127"/>
      <c r="I14" s="38" t="str">
        <f t="shared" si="8"/>
        <v/>
      </c>
      <c r="K14" s="66">
        <v>9</v>
      </c>
      <c r="L14" s="56" t="str">
        <f t="shared" si="2"/>
        <v/>
      </c>
      <c r="M14" s="57">
        <f t="shared" si="2"/>
        <v>0</v>
      </c>
      <c r="N14" s="57">
        <f t="shared" si="2"/>
        <v>0</v>
      </c>
      <c r="O14" s="56" t="str">
        <f t="shared" si="2"/>
        <v/>
      </c>
      <c r="P14" s="58" t="e">
        <f t="shared" si="3"/>
        <v>#VALUE!</v>
      </c>
      <c r="Q14" s="54">
        <v>330</v>
      </c>
      <c r="R14" s="55">
        <f t="shared" si="4"/>
        <v>0.94285714285714284</v>
      </c>
      <c r="S14" s="55" t="e">
        <f t="shared" si="5"/>
        <v>#VALUE!</v>
      </c>
      <c r="T14" s="54" t="e">
        <f t="shared" si="6"/>
        <v>#VALUE!</v>
      </c>
      <c r="U14" s="54">
        <v>-3.5</v>
      </c>
      <c r="V14" s="55">
        <f t="shared" si="0"/>
        <v>-0.58333333333333337</v>
      </c>
      <c r="W14" s="67" t="e">
        <f t="shared" si="1"/>
        <v>#VALUE!</v>
      </c>
      <c r="X14" s="44"/>
    </row>
    <row r="15" spans="1:24" ht="15" customHeight="1">
      <c r="A15" s="6">
        <v>12</v>
      </c>
      <c r="B15" s="7" t="str">
        <f>IF(Allocation!G14="","",VLOOKUP(A15,Allocation!$A$2:$I$47,3))</f>
        <v/>
      </c>
      <c r="C15" s="6" t="str">
        <f>IF(B15="","",VLOOKUP(A15,Allocation!$A$2:$I$47,4,))</f>
        <v/>
      </c>
      <c r="D15" s="6" t="str">
        <f>IF(B15="","",VLOOKUP(A15,Allocation!$A$2:$I$47,7,))</f>
        <v/>
      </c>
      <c r="F15" s="37" t="str">
        <f t="shared" si="7"/>
        <v/>
      </c>
      <c r="G15" s="127"/>
      <c r="H15" s="127"/>
      <c r="I15" s="38" t="str">
        <f t="shared" si="8"/>
        <v/>
      </c>
      <c r="K15" s="66">
        <v>10</v>
      </c>
      <c r="L15" s="56" t="str">
        <f t="shared" si="2"/>
        <v/>
      </c>
      <c r="M15" s="57">
        <f t="shared" si="2"/>
        <v>0</v>
      </c>
      <c r="N15" s="57">
        <f t="shared" si="2"/>
        <v>0</v>
      </c>
      <c r="O15" s="56" t="str">
        <f t="shared" si="2"/>
        <v/>
      </c>
      <c r="P15" s="58" t="e">
        <f t="shared" si="3"/>
        <v>#VALUE!</v>
      </c>
      <c r="Q15" s="54">
        <v>300</v>
      </c>
      <c r="R15" s="55">
        <f t="shared" si="4"/>
        <v>0.8571428571428571</v>
      </c>
      <c r="S15" s="55" t="e">
        <f t="shared" si="5"/>
        <v>#VALUE!</v>
      </c>
      <c r="T15" s="54" t="e">
        <f t="shared" si="6"/>
        <v>#VALUE!</v>
      </c>
      <c r="U15" s="54">
        <v>-4.5</v>
      </c>
      <c r="V15" s="55">
        <f t="shared" si="0"/>
        <v>-0.75</v>
      </c>
      <c r="W15" s="67" t="e">
        <f t="shared" si="1"/>
        <v>#VALUE!</v>
      </c>
      <c r="X15" s="44"/>
    </row>
    <row r="16" spans="1:24" ht="15.75" customHeight="1" thickBot="1">
      <c r="A16" s="6">
        <v>13</v>
      </c>
      <c r="B16" s="7" t="str">
        <f>IF(Allocation!G15="","",VLOOKUP(A16,Allocation!$A$2:$I$47,3))</f>
        <v/>
      </c>
      <c r="C16" s="6" t="str">
        <f>IF(B16="","",VLOOKUP(A16,Allocation!$A$2:$I$47,4,))</f>
        <v/>
      </c>
      <c r="D16" s="6" t="str">
        <f>IF(B16="","",VLOOKUP(A16,Allocation!$A$2:$I$47,7,))</f>
        <v/>
      </c>
      <c r="F16" s="34"/>
      <c r="G16" s="128"/>
      <c r="H16" s="40" t="str">
        <f>IF(G16="","",VLOOKUP(G16,$B$4:$C$48,2,))</f>
        <v/>
      </c>
      <c r="I16" s="35"/>
      <c r="K16" s="66"/>
      <c r="L16" s="54">
        <v>3</v>
      </c>
      <c r="M16" s="11"/>
      <c r="N16" s="11"/>
      <c r="O16" s="53"/>
      <c r="P16" s="54">
        <f t="shared" si="3"/>
        <v>-3</v>
      </c>
      <c r="Q16" s="54">
        <v>420</v>
      </c>
      <c r="R16" s="55">
        <f t="shared" si="4"/>
        <v>1.2</v>
      </c>
      <c r="S16" s="55">
        <f t="shared" si="5"/>
        <v>-3.5999999999999996</v>
      </c>
      <c r="T16" s="54" t="e">
        <f>H16+7</f>
        <v>#VALUE!</v>
      </c>
      <c r="U16" s="54">
        <v>-6</v>
      </c>
      <c r="V16" s="55">
        <f t="shared" si="0"/>
        <v>-1</v>
      </c>
      <c r="W16" s="67" t="e">
        <f t="shared" si="1"/>
        <v>#VALUE!</v>
      </c>
      <c r="X16" s="44"/>
    </row>
    <row r="17" spans="1:24" ht="15.6" customHeight="1" thickBot="1">
      <c r="A17" s="6">
        <v>14</v>
      </c>
      <c r="B17" s="7" t="str">
        <f>IF(Allocation!G16="","",VLOOKUP(A17,Allocation!$A$2:$I$47,3))</f>
        <v/>
      </c>
      <c r="C17" s="6" t="str">
        <f>IF(B17="","",VLOOKUP(A17,Allocation!$A$2:$I$47,4,))</f>
        <v/>
      </c>
      <c r="D17" s="6" t="str">
        <f>IF(B17="","",VLOOKUP(A17,Allocation!$A$2:$I$47,7,))</f>
        <v/>
      </c>
      <c r="K17" s="68"/>
      <c r="L17" s="69">
        <f>SUM(L6:L16)</f>
        <v>3</v>
      </c>
      <c r="M17" s="70"/>
      <c r="N17" s="70"/>
      <c r="O17" s="69">
        <f>SUM(O6:O16)</f>
        <v>0</v>
      </c>
      <c r="P17" s="71"/>
      <c r="Q17" s="71"/>
      <c r="R17" s="71"/>
      <c r="S17" s="76" t="e">
        <f>SUM(S6:S16)</f>
        <v>#VALUE!</v>
      </c>
      <c r="T17" s="71"/>
      <c r="U17" s="71"/>
      <c r="V17" s="72"/>
      <c r="W17" s="77" t="e">
        <f>SUM(W5:W16)</f>
        <v>#VALUE!</v>
      </c>
      <c r="X17" s="44"/>
    </row>
    <row r="18" spans="1:24" ht="15" customHeight="1">
      <c r="A18" s="6">
        <v>15</v>
      </c>
      <c r="B18" s="7" t="str">
        <f>IF(Allocation!G17="","",VLOOKUP(A18,Allocation!$A$2:$I$47,3))</f>
        <v/>
      </c>
      <c r="C18" s="6" t="str">
        <f>IF(B18="","",VLOOKUP(A18,Allocation!$A$2:$I$47,4,))</f>
        <v/>
      </c>
      <c r="D18" s="6" t="str">
        <f>IF(B18="","",VLOOKUP(A18,Allocation!$A$2:$I$47,7,))</f>
        <v/>
      </c>
      <c r="F18" s="42" t="s">
        <v>6</v>
      </c>
      <c r="K18" s="46"/>
      <c r="L18" s="47" t="s">
        <v>7</v>
      </c>
      <c r="M18" s="50"/>
      <c r="N18" s="51"/>
      <c r="O18" s="45">
        <v>87</v>
      </c>
      <c r="P18" s="48"/>
      <c r="Q18" s="48"/>
      <c r="R18" s="48"/>
      <c r="S18" s="52" t="s">
        <v>8</v>
      </c>
      <c r="T18" s="48"/>
      <c r="U18" s="48"/>
      <c r="V18" s="48"/>
      <c r="W18" s="52" t="s">
        <v>9</v>
      </c>
      <c r="X18" s="44"/>
    </row>
    <row r="19" spans="1:24" ht="15" customHeight="1">
      <c r="A19" s="6">
        <v>16</v>
      </c>
      <c r="B19" s="7" t="str">
        <f>IF(Allocation!G18="","",VLOOKUP(A19,Allocation!$A$2:$I$47,3))</f>
        <v/>
      </c>
      <c r="C19" s="6" t="str">
        <f>IF(B19="","",VLOOKUP(A19,Allocation!$A$2:$I$47,4,))</f>
        <v/>
      </c>
      <c r="D19" s="6" t="str">
        <f>IF(B19="","",VLOOKUP(A19,Allocation!$A$2:$I$47,7,))</f>
        <v/>
      </c>
      <c r="G19" s="127"/>
      <c r="H19" s="36" t="str">
        <f>IF(G19="","",VLOOKUP(G19,$B$4:$C$29,2,))</f>
        <v/>
      </c>
      <c r="K19" s="46"/>
      <c r="L19" s="58" t="str">
        <f>H19</f>
        <v/>
      </c>
      <c r="M19" s="73">
        <f>G19</f>
        <v>0</v>
      </c>
      <c r="N19" s="146" t="s">
        <v>10</v>
      </c>
      <c r="O19" s="147"/>
      <c r="P19" s="148"/>
      <c r="Q19" s="74">
        <f>SUM(O6:O15,L6:L15)</f>
        <v>0</v>
      </c>
      <c r="R19" s="48"/>
      <c r="S19" s="52" t="s">
        <v>11</v>
      </c>
      <c r="T19" s="48"/>
      <c r="U19" s="49"/>
      <c r="V19" s="48"/>
      <c r="W19" s="52" t="s">
        <v>11</v>
      </c>
      <c r="X19" s="44"/>
    </row>
    <row r="20" spans="1:24" ht="15" customHeight="1">
      <c r="A20" s="6">
        <v>17</v>
      </c>
      <c r="B20" s="7" t="str">
        <f>IF(Allocation!G19="","",VLOOKUP(A20,Allocation!$A$2:$I$47,3))</f>
        <v/>
      </c>
      <c r="C20" s="6" t="str">
        <f>IF(B20="","",VLOOKUP(A20,Allocation!$A$2:$I$47,4,))</f>
        <v/>
      </c>
      <c r="D20" s="6" t="str">
        <f>IF(B20="","",VLOOKUP(A20,Allocation!$A$2:$I$47,7,))</f>
        <v/>
      </c>
      <c r="G20" s="127"/>
      <c r="H20" s="36" t="str">
        <f t="shared" ref="H20:H22" si="9">IF(G20="","",VLOOKUP(G20,$B$4:$C$29,2,))</f>
        <v/>
      </c>
      <c r="K20" s="46"/>
      <c r="L20" s="58" t="str">
        <f>H20</f>
        <v/>
      </c>
      <c r="M20" s="73">
        <f>G20</f>
        <v>0</v>
      </c>
      <c r="N20" s="146" t="s">
        <v>12</v>
      </c>
      <c r="O20" s="147"/>
      <c r="P20" s="148"/>
      <c r="Q20" s="74">
        <f>SUM(O6:O15,L6:L15)/20</f>
        <v>0</v>
      </c>
      <c r="R20" s="49"/>
      <c r="S20" s="107" t="s">
        <v>84</v>
      </c>
      <c r="T20" s="49"/>
      <c r="U20" s="49"/>
      <c r="V20" s="48"/>
      <c r="W20" s="107" t="s">
        <v>85</v>
      </c>
      <c r="X20" s="44"/>
    </row>
    <row r="21" spans="1:24" ht="15" customHeight="1">
      <c r="A21" s="6">
        <v>18</v>
      </c>
      <c r="B21" s="7" t="str">
        <f>IF(Allocation!G20="","",VLOOKUP(A21,Allocation!$A$2:$I$47,3))</f>
        <v/>
      </c>
      <c r="C21" s="6" t="str">
        <f>IF(B21="","",VLOOKUP(A21,Allocation!$A$2:$I$47,4,))</f>
        <v/>
      </c>
      <c r="D21" s="6" t="str">
        <f>IF(B21="","",VLOOKUP(A21,Allocation!$A$2:$I$47,7,))</f>
        <v/>
      </c>
      <c r="G21" s="127"/>
      <c r="H21" s="36" t="str">
        <f t="shared" si="9"/>
        <v/>
      </c>
      <c r="K21" s="46"/>
      <c r="L21" s="58" t="str">
        <f>H21</f>
        <v/>
      </c>
      <c r="M21" s="73">
        <f>G21</f>
        <v>0</v>
      </c>
      <c r="N21" s="146" t="s">
        <v>13</v>
      </c>
      <c r="O21" s="147"/>
      <c r="P21" s="148"/>
      <c r="Q21" s="74" t="e">
        <f>SUM(Q19,T16,T5,650)</f>
        <v>#VALUE!</v>
      </c>
      <c r="R21" s="49"/>
      <c r="S21" s="49"/>
      <c r="T21" s="49"/>
      <c r="U21" s="49"/>
      <c r="V21" s="48"/>
      <c r="W21" s="48"/>
      <c r="X21" s="44"/>
    </row>
    <row r="22" spans="1:24" ht="15" customHeight="1">
      <c r="A22" s="6">
        <v>19</v>
      </c>
      <c r="B22" s="7" t="str">
        <f>IF(Allocation!G21="","",VLOOKUP(A22,Allocation!$A$2:$I$47,3))</f>
        <v/>
      </c>
      <c r="C22" s="6" t="str">
        <f>IF(B22="","",VLOOKUP(A22,Allocation!$A$2:$I$47,4,))</f>
        <v/>
      </c>
      <c r="D22" s="6" t="str">
        <f>IF(B22="","",VLOOKUP(A22,Allocation!$A$2:$I$47,7,))</f>
        <v/>
      </c>
      <c r="G22" s="127"/>
      <c r="H22" s="36" t="str">
        <f t="shared" si="9"/>
        <v/>
      </c>
      <c r="K22" s="46"/>
      <c r="L22" s="58" t="str">
        <f>H22</f>
        <v/>
      </c>
      <c r="M22" s="73">
        <f>G22</f>
        <v>0</v>
      </c>
      <c r="N22" s="146" t="s">
        <v>14</v>
      </c>
      <c r="O22" s="147"/>
      <c r="P22" s="148"/>
      <c r="Q22" s="75" t="e">
        <f>SUM(Q19,T16,T5,650)/20</f>
        <v>#VALUE!</v>
      </c>
      <c r="R22" s="49"/>
      <c r="S22" s="49"/>
      <c r="T22" s="49"/>
      <c r="U22" s="49"/>
      <c r="V22" s="48"/>
      <c r="W22" s="48"/>
      <c r="X22" s="44"/>
    </row>
    <row r="23" spans="1:24" ht="15" customHeight="1">
      <c r="A23" s="6">
        <v>20</v>
      </c>
      <c r="B23" s="7" t="str">
        <f>IF(Allocation!G22="","",VLOOKUP(A23,Allocation!$A$2:$I$47,3))</f>
        <v/>
      </c>
      <c r="C23" s="6" t="str">
        <f>IF(B23="","",VLOOKUP(A23,Allocation!$A$2:$I$47,4,))</f>
        <v/>
      </c>
      <c r="D23" s="6" t="str">
        <f>IF(B23="","",VLOOKUP(A23,Allocation!$A$2:$I$47,7,))</f>
        <v/>
      </c>
    </row>
    <row r="24" spans="1:24" ht="15" customHeight="1">
      <c r="A24" s="6">
        <v>21</v>
      </c>
      <c r="B24" s="7" t="str">
        <f>IF(Allocation!G23="","",VLOOKUP(A24,Allocation!$A$2:$I$47,3))</f>
        <v/>
      </c>
      <c r="C24" s="6" t="str">
        <f>IF(B24="","",VLOOKUP(A24,Allocation!$A$2:$I$47,4,))</f>
        <v/>
      </c>
      <c r="D24" s="6" t="str">
        <f>IF(B24="","",VLOOKUP(A24,Allocation!$A$2:$I$47,7,))</f>
        <v/>
      </c>
    </row>
    <row r="25" spans="1:24" ht="15" customHeight="1" thickBot="1">
      <c r="A25" s="6">
        <v>22</v>
      </c>
      <c r="B25" s="7" t="str">
        <f>IF(Allocation!G24="","",VLOOKUP(A25,Allocation!$A$2:$I$47,3))</f>
        <v/>
      </c>
      <c r="C25" s="6" t="str">
        <f>IF(B25="","",VLOOKUP(A25,Allocation!$A$2:$I$47,4,))</f>
        <v/>
      </c>
      <c r="D25" s="6" t="str">
        <f>IF(B25="","",VLOOKUP(A25,Allocation!$A$2:$I$47,7,))</f>
        <v/>
      </c>
      <c r="F25" s="43" t="s">
        <v>15</v>
      </c>
    </row>
    <row r="26" spans="1:24" ht="15" customHeight="1">
      <c r="A26" s="6">
        <v>23</v>
      </c>
      <c r="B26" s="7" t="str">
        <f>IF(Allocation!G25="","",VLOOKUP(A26,Allocation!$A$2:$I$47,3))</f>
        <v/>
      </c>
      <c r="C26" s="6" t="str">
        <f>IF(B26="","",VLOOKUP(A26,Allocation!$A$2:$I$47,4,))</f>
        <v/>
      </c>
      <c r="D26" s="6" t="str">
        <f>IF(B26="","",VLOOKUP(A26,Allocation!$A$2:$I$47,7,))</f>
        <v/>
      </c>
      <c r="F26" s="32"/>
      <c r="G26" s="126"/>
      <c r="H26" s="39" t="str">
        <f>IF(G26="","",VLOOKUP(G26,$B$4:$C$48,2,))</f>
        <v/>
      </c>
      <c r="I26" s="33"/>
      <c r="K26" s="59"/>
      <c r="L26" s="60" t="s">
        <v>3</v>
      </c>
      <c r="M26" s="61" t="s">
        <v>4</v>
      </c>
      <c r="N26" s="61" t="s">
        <v>5</v>
      </c>
      <c r="O26" s="60" t="s">
        <v>3</v>
      </c>
      <c r="P26" s="62"/>
      <c r="Q26" s="62"/>
      <c r="R26" s="62"/>
      <c r="S26" s="62"/>
      <c r="T26" s="63" t="e">
        <f>H26+14</f>
        <v>#VALUE!</v>
      </c>
      <c r="U26" s="63">
        <v>6</v>
      </c>
      <c r="V26" s="64">
        <f t="shared" ref="V26:V37" si="10">(U26)/6</f>
        <v>1</v>
      </c>
      <c r="W26" s="65" t="e">
        <f t="shared" ref="W26:W37" si="11">V26*T26</f>
        <v>#VALUE!</v>
      </c>
    </row>
    <row r="27" spans="1:24" ht="15" customHeight="1">
      <c r="A27" s="6">
        <v>24</v>
      </c>
      <c r="B27" s="7" t="str">
        <f>IF(Allocation!G26="","",VLOOKUP(A27,Allocation!$A$2:$I$47,3))</f>
        <v/>
      </c>
      <c r="C27" s="6" t="str">
        <f>IF(B27="","",VLOOKUP(A27,Allocation!$A$2:$I$47,4,))</f>
        <v/>
      </c>
      <c r="D27" s="6" t="str">
        <f>IF(B27="","",VLOOKUP(A27,Allocation!$A$2:$I$47,7,))</f>
        <v/>
      </c>
      <c r="F27" s="37" t="str">
        <f>IF(G27="","",VLOOKUP(G27,$B$4:$C$48,2,))</f>
        <v/>
      </c>
      <c r="G27" s="127"/>
      <c r="H27" s="127"/>
      <c r="I27" s="38" t="str">
        <f>IF(H27="","",VLOOKUP(H27,$B$4:$C$48,2,))</f>
        <v/>
      </c>
      <c r="K27" s="66">
        <v>1</v>
      </c>
      <c r="L27" s="56" t="str">
        <f t="shared" ref="L27:O36" si="12">F27</f>
        <v/>
      </c>
      <c r="M27" s="57">
        <f t="shared" si="12"/>
        <v>0</v>
      </c>
      <c r="N27" s="57">
        <f t="shared" si="12"/>
        <v>0</v>
      </c>
      <c r="O27" s="56" t="str">
        <f t="shared" si="12"/>
        <v/>
      </c>
      <c r="P27" s="58" t="e">
        <f t="shared" ref="P27:P37" si="13">O27-L27</f>
        <v>#VALUE!</v>
      </c>
      <c r="Q27" s="54">
        <v>300</v>
      </c>
      <c r="R27" s="55">
        <f t="shared" ref="R27:R37" si="14">Q27/350</f>
        <v>0.8571428571428571</v>
      </c>
      <c r="S27" s="55" t="e">
        <f t="shared" ref="S27:S37" si="15">P27*R27</f>
        <v>#VALUE!</v>
      </c>
      <c r="T27" s="54" t="e">
        <f t="shared" ref="T27:T36" si="16">L27+O27</f>
        <v>#VALUE!</v>
      </c>
      <c r="U27" s="54">
        <v>4.5</v>
      </c>
      <c r="V27" s="55">
        <f t="shared" si="10"/>
        <v>0.75</v>
      </c>
      <c r="W27" s="67" t="e">
        <f t="shared" si="11"/>
        <v>#VALUE!</v>
      </c>
      <c r="X27" s="44"/>
    </row>
    <row r="28" spans="1:24" ht="15" customHeight="1">
      <c r="A28" s="6">
        <v>25</v>
      </c>
      <c r="B28" s="7" t="str">
        <f>IF(Allocation!G27="","",VLOOKUP(A28,Allocation!$A$2:$I$47,3))</f>
        <v/>
      </c>
      <c r="C28" s="6" t="str">
        <f>IF(B28="","",VLOOKUP(A28,Allocation!$A$2:$I$47,4,))</f>
        <v/>
      </c>
      <c r="D28" s="6" t="str">
        <f>IF(B28="","",VLOOKUP(A28,Allocation!$A$2:$I$47,7,))</f>
        <v/>
      </c>
      <c r="F28" s="37" t="str">
        <f t="shared" ref="F28:F36" si="17">IF(G28="","",VLOOKUP(G28,$B$4:$C$48,2,))</f>
        <v/>
      </c>
      <c r="G28" s="127"/>
      <c r="H28" s="127"/>
      <c r="I28" s="38" t="str">
        <f t="shared" ref="I28:I36" si="18">IF(H28="","",VLOOKUP(H28,$B$4:$C$29,2,))</f>
        <v/>
      </c>
      <c r="K28" s="66">
        <v>2</v>
      </c>
      <c r="L28" s="56" t="str">
        <f t="shared" si="12"/>
        <v/>
      </c>
      <c r="M28" s="57">
        <f t="shared" si="12"/>
        <v>0</v>
      </c>
      <c r="N28" s="57">
        <f t="shared" si="12"/>
        <v>0</v>
      </c>
      <c r="O28" s="56" t="str">
        <f t="shared" si="12"/>
        <v/>
      </c>
      <c r="P28" s="58" t="e">
        <f t="shared" si="13"/>
        <v>#VALUE!</v>
      </c>
      <c r="Q28" s="54">
        <v>330</v>
      </c>
      <c r="R28" s="55">
        <f t="shared" si="14"/>
        <v>0.94285714285714284</v>
      </c>
      <c r="S28" s="55" t="e">
        <f t="shared" si="15"/>
        <v>#VALUE!</v>
      </c>
      <c r="T28" s="54" t="e">
        <f t="shared" si="16"/>
        <v>#VALUE!</v>
      </c>
      <c r="U28" s="54">
        <v>3.5</v>
      </c>
      <c r="V28" s="55">
        <f t="shared" si="10"/>
        <v>0.58333333333333337</v>
      </c>
      <c r="W28" s="67" t="e">
        <f t="shared" si="11"/>
        <v>#VALUE!</v>
      </c>
      <c r="X28" s="44"/>
    </row>
    <row r="29" spans="1:24" ht="15" customHeight="1">
      <c r="A29" s="6">
        <v>26</v>
      </c>
      <c r="B29" s="7" t="str">
        <f>IF(Allocation!G28="","",VLOOKUP(A29,Allocation!$A$2:$I$47,3))</f>
        <v/>
      </c>
      <c r="C29" s="6" t="str">
        <f>IF(B29="","",VLOOKUP(A29,Allocation!$A$2:$I$47,4,))</f>
        <v/>
      </c>
      <c r="D29" s="6" t="str">
        <f>IF(B29="","",VLOOKUP(A29,Allocation!$A$2:$I$47,7,))</f>
        <v/>
      </c>
      <c r="F29" s="37" t="str">
        <f t="shared" si="17"/>
        <v/>
      </c>
      <c r="G29" s="127"/>
      <c r="H29" s="127"/>
      <c r="I29" s="38" t="str">
        <f t="shared" si="18"/>
        <v/>
      </c>
      <c r="K29" s="66">
        <v>3</v>
      </c>
      <c r="L29" s="56" t="str">
        <f t="shared" si="12"/>
        <v/>
      </c>
      <c r="M29" s="57">
        <f t="shared" si="12"/>
        <v>0</v>
      </c>
      <c r="N29" s="57">
        <f t="shared" si="12"/>
        <v>0</v>
      </c>
      <c r="O29" s="56" t="str">
        <f t="shared" si="12"/>
        <v/>
      </c>
      <c r="P29" s="58" t="e">
        <f t="shared" si="13"/>
        <v>#VALUE!</v>
      </c>
      <c r="Q29" s="54">
        <v>350</v>
      </c>
      <c r="R29" s="55">
        <f t="shared" si="14"/>
        <v>1</v>
      </c>
      <c r="S29" s="55" t="e">
        <f t="shared" si="15"/>
        <v>#VALUE!</v>
      </c>
      <c r="T29" s="54" t="e">
        <f t="shared" si="16"/>
        <v>#VALUE!</v>
      </c>
      <c r="U29" s="54">
        <v>2.5</v>
      </c>
      <c r="V29" s="55">
        <f t="shared" si="10"/>
        <v>0.41666666666666669</v>
      </c>
      <c r="W29" s="67" t="e">
        <f t="shared" si="11"/>
        <v>#VALUE!</v>
      </c>
      <c r="X29" s="44"/>
    </row>
    <row r="30" spans="1:24" ht="15" customHeight="1">
      <c r="A30" s="6">
        <v>27</v>
      </c>
      <c r="B30" s="7" t="str">
        <f>IF(Allocation!G29="","",VLOOKUP(A30,Allocation!$A$2:$I$47,3))</f>
        <v/>
      </c>
      <c r="C30" s="6" t="str">
        <f>IF(B30="","",VLOOKUP(A30,Allocation!$A$2:$I$47,4,))</f>
        <v/>
      </c>
      <c r="D30" s="6" t="str">
        <f>IF(B30="","",VLOOKUP(A30,Allocation!$A$2:$I$47,7,))</f>
        <v/>
      </c>
      <c r="F30" s="37" t="str">
        <f t="shared" si="17"/>
        <v/>
      </c>
      <c r="G30" s="127"/>
      <c r="H30" s="127"/>
      <c r="I30" s="38" t="str">
        <f t="shared" si="18"/>
        <v/>
      </c>
      <c r="K30" s="66">
        <v>4</v>
      </c>
      <c r="L30" s="56" t="str">
        <f t="shared" si="12"/>
        <v/>
      </c>
      <c r="M30" s="57">
        <f t="shared" si="12"/>
        <v>0</v>
      </c>
      <c r="N30" s="57">
        <f t="shared" si="12"/>
        <v>0</v>
      </c>
      <c r="O30" s="56" t="str">
        <f t="shared" si="12"/>
        <v/>
      </c>
      <c r="P30" s="58" t="e">
        <f t="shared" si="13"/>
        <v>#VALUE!</v>
      </c>
      <c r="Q30" s="54">
        <v>350</v>
      </c>
      <c r="R30" s="55">
        <f t="shared" si="14"/>
        <v>1</v>
      </c>
      <c r="S30" s="55" t="e">
        <f t="shared" si="15"/>
        <v>#VALUE!</v>
      </c>
      <c r="T30" s="54" t="e">
        <f t="shared" si="16"/>
        <v>#VALUE!</v>
      </c>
      <c r="U30" s="54">
        <v>1.5</v>
      </c>
      <c r="V30" s="55">
        <f t="shared" si="10"/>
        <v>0.25</v>
      </c>
      <c r="W30" s="67" t="e">
        <f t="shared" si="11"/>
        <v>#VALUE!</v>
      </c>
      <c r="X30" s="44"/>
    </row>
    <row r="31" spans="1:24" ht="15" customHeight="1">
      <c r="A31" s="6">
        <v>28</v>
      </c>
      <c r="B31" s="7" t="str">
        <f>IF(Allocation!G30="","",VLOOKUP(A31,Allocation!$A$2:$I$47,3))</f>
        <v/>
      </c>
      <c r="C31" s="6" t="str">
        <f>IF(B31="","",VLOOKUP(A31,Allocation!$A$2:$I$47,4,))</f>
        <v/>
      </c>
      <c r="D31" s="6" t="str">
        <f>IF(B31="","",VLOOKUP(A31,Allocation!$A$2:$I$47,7,))</f>
        <v/>
      </c>
      <c r="F31" s="37" t="str">
        <f t="shared" si="17"/>
        <v/>
      </c>
      <c r="G31" s="127"/>
      <c r="H31" s="127"/>
      <c r="I31" s="38" t="str">
        <f t="shared" si="18"/>
        <v/>
      </c>
      <c r="K31" s="66">
        <v>5</v>
      </c>
      <c r="L31" s="56" t="str">
        <f t="shared" si="12"/>
        <v/>
      </c>
      <c r="M31" s="57">
        <f t="shared" si="12"/>
        <v>0</v>
      </c>
      <c r="N31" s="57">
        <f t="shared" si="12"/>
        <v>0</v>
      </c>
      <c r="O31" s="56" t="str">
        <f t="shared" si="12"/>
        <v/>
      </c>
      <c r="P31" s="58" t="e">
        <f t="shared" si="13"/>
        <v>#VALUE!</v>
      </c>
      <c r="Q31" s="54">
        <v>350</v>
      </c>
      <c r="R31" s="55">
        <f t="shared" si="14"/>
        <v>1</v>
      </c>
      <c r="S31" s="55" t="e">
        <f t="shared" si="15"/>
        <v>#VALUE!</v>
      </c>
      <c r="T31" s="54" t="e">
        <f t="shared" si="16"/>
        <v>#VALUE!</v>
      </c>
      <c r="U31" s="54">
        <v>0.5</v>
      </c>
      <c r="V31" s="55">
        <f t="shared" si="10"/>
        <v>8.3333333333333329E-2</v>
      </c>
      <c r="W31" s="67" t="e">
        <f t="shared" si="11"/>
        <v>#VALUE!</v>
      </c>
      <c r="X31" s="44"/>
    </row>
    <row r="32" spans="1:24" ht="15" customHeight="1">
      <c r="A32" s="6">
        <v>29</v>
      </c>
      <c r="B32" s="7" t="str">
        <f>IF(Allocation!G31="","",VLOOKUP(A32,Allocation!$A$2:$I$47,3))</f>
        <v/>
      </c>
      <c r="C32" s="6" t="str">
        <f>IF(B32="","",VLOOKUP(A32,Allocation!$A$2:$I$47,4,))</f>
        <v/>
      </c>
      <c r="D32" s="6" t="str">
        <f>IF(B32="","",VLOOKUP(A32,Allocation!$A$2:$I$47,7,))</f>
        <v/>
      </c>
      <c r="F32" s="37" t="str">
        <f t="shared" si="17"/>
        <v/>
      </c>
      <c r="G32" s="127"/>
      <c r="H32" s="127"/>
      <c r="I32" s="38" t="str">
        <f t="shared" si="18"/>
        <v/>
      </c>
      <c r="K32" s="66">
        <v>6</v>
      </c>
      <c r="L32" s="56" t="str">
        <f t="shared" si="12"/>
        <v/>
      </c>
      <c r="M32" s="57">
        <f t="shared" si="12"/>
        <v>0</v>
      </c>
      <c r="N32" s="57">
        <f t="shared" si="12"/>
        <v>0</v>
      </c>
      <c r="O32" s="56" t="str">
        <f t="shared" si="12"/>
        <v/>
      </c>
      <c r="P32" s="58" t="e">
        <f t="shared" si="13"/>
        <v>#VALUE!</v>
      </c>
      <c r="Q32" s="54">
        <v>350</v>
      </c>
      <c r="R32" s="55">
        <f t="shared" si="14"/>
        <v>1</v>
      </c>
      <c r="S32" s="55" t="e">
        <f t="shared" si="15"/>
        <v>#VALUE!</v>
      </c>
      <c r="T32" s="54" t="e">
        <f t="shared" si="16"/>
        <v>#VALUE!</v>
      </c>
      <c r="U32" s="54">
        <v>-0.5</v>
      </c>
      <c r="V32" s="55">
        <f t="shared" si="10"/>
        <v>-8.3333333333333329E-2</v>
      </c>
      <c r="W32" s="67" t="e">
        <f t="shared" si="11"/>
        <v>#VALUE!</v>
      </c>
      <c r="X32" s="44"/>
    </row>
    <row r="33" spans="1:24" ht="15" customHeight="1">
      <c r="A33" s="6">
        <v>30</v>
      </c>
      <c r="B33" s="7" t="str">
        <f>IF(Allocation!G32="","",VLOOKUP(A33,Allocation!$A$2:$I$47,3))</f>
        <v/>
      </c>
      <c r="C33" s="6" t="str">
        <f>IF(B33="","",VLOOKUP(A33,Allocation!$A$2:$I$47,4,))</f>
        <v/>
      </c>
      <c r="D33" s="6" t="str">
        <f>IF(B33="","",VLOOKUP(A33,Allocation!$A$2:$I$47,7,))</f>
        <v/>
      </c>
      <c r="F33" s="37" t="str">
        <f t="shared" si="17"/>
        <v/>
      </c>
      <c r="G33" s="127"/>
      <c r="H33" s="127"/>
      <c r="I33" s="38" t="str">
        <f t="shared" si="18"/>
        <v/>
      </c>
      <c r="K33" s="66">
        <v>7</v>
      </c>
      <c r="L33" s="56" t="str">
        <f t="shared" si="12"/>
        <v/>
      </c>
      <c r="M33" s="57">
        <f t="shared" si="12"/>
        <v>0</v>
      </c>
      <c r="N33" s="57">
        <f t="shared" si="12"/>
        <v>0</v>
      </c>
      <c r="O33" s="56" t="str">
        <f t="shared" si="12"/>
        <v/>
      </c>
      <c r="P33" s="58" t="e">
        <f t="shared" si="13"/>
        <v>#VALUE!</v>
      </c>
      <c r="Q33" s="54">
        <v>350</v>
      </c>
      <c r="R33" s="55">
        <f t="shared" si="14"/>
        <v>1</v>
      </c>
      <c r="S33" s="55" t="e">
        <f t="shared" si="15"/>
        <v>#VALUE!</v>
      </c>
      <c r="T33" s="54" t="e">
        <f t="shared" si="16"/>
        <v>#VALUE!</v>
      </c>
      <c r="U33" s="54">
        <v>-1.5</v>
      </c>
      <c r="V33" s="55">
        <f t="shared" si="10"/>
        <v>-0.25</v>
      </c>
      <c r="W33" s="67" t="e">
        <f t="shared" si="11"/>
        <v>#VALUE!</v>
      </c>
      <c r="X33" s="44"/>
    </row>
    <row r="34" spans="1:24" ht="15" customHeight="1">
      <c r="A34" s="6">
        <v>31</v>
      </c>
      <c r="B34" s="7" t="str">
        <f>IF(Allocation!G33="","",VLOOKUP(A34,Allocation!$A$2:$I$47,3))</f>
        <v/>
      </c>
      <c r="C34" s="6" t="str">
        <f>IF(B34="","",VLOOKUP(A34,Allocation!$A$2:$I$47,4,))</f>
        <v/>
      </c>
      <c r="D34" s="6" t="str">
        <f>IF(B34="","",VLOOKUP(A34,Allocation!$A$2:$I$47,7,))</f>
        <v/>
      </c>
      <c r="F34" s="37" t="str">
        <f t="shared" si="17"/>
        <v/>
      </c>
      <c r="G34" s="127"/>
      <c r="H34" s="127"/>
      <c r="I34" s="38" t="str">
        <f t="shared" si="18"/>
        <v/>
      </c>
      <c r="K34" s="66">
        <v>8</v>
      </c>
      <c r="L34" s="56" t="str">
        <f t="shared" si="12"/>
        <v/>
      </c>
      <c r="M34" s="57">
        <f t="shared" si="12"/>
        <v>0</v>
      </c>
      <c r="N34" s="57">
        <f t="shared" si="12"/>
        <v>0</v>
      </c>
      <c r="O34" s="56" t="str">
        <f t="shared" si="12"/>
        <v/>
      </c>
      <c r="P34" s="58" t="e">
        <f t="shared" si="13"/>
        <v>#VALUE!</v>
      </c>
      <c r="Q34" s="54">
        <v>350</v>
      </c>
      <c r="R34" s="55">
        <f t="shared" si="14"/>
        <v>1</v>
      </c>
      <c r="S34" s="55" t="e">
        <f t="shared" si="15"/>
        <v>#VALUE!</v>
      </c>
      <c r="T34" s="54" t="e">
        <f t="shared" si="16"/>
        <v>#VALUE!</v>
      </c>
      <c r="U34" s="54">
        <v>-2.5</v>
      </c>
      <c r="V34" s="55">
        <f t="shared" si="10"/>
        <v>-0.41666666666666669</v>
      </c>
      <c r="W34" s="67" t="e">
        <f t="shared" si="11"/>
        <v>#VALUE!</v>
      </c>
      <c r="X34" s="44"/>
    </row>
    <row r="35" spans="1:24" ht="15" customHeight="1">
      <c r="A35" s="6">
        <v>32</v>
      </c>
      <c r="B35" s="7" t="str">
        <f>IF(Allocation!G34="","",VLOOKUP(A35,Allocation!$A$2:$I$47,3))</f>
        <v/>
      </c>
      <c r="C35" s="6" t="str">
        <f>IF(B35="","",VLOOKUP(A35,Allocation!$A$2:$I$47,4,))</f>
        <v/>
      </c>
      <c r="D35" s="6" t="str">
        <f>IF(B35="","",VLOOKUP(A35,Allocation!$A$2:$I$47,7,))</f>
        <v/>
      </c>
      <c r="F35" s="37" t="str">
        <f t="shared" si="17"/>
        <v/>
      </c>
      <c r="G35" s="127"/>
      <c r="H35" s="127"/>
      <c r="I35" s="38" t="str">
        <f t="shared" si="18"/>
        <v/>
      </c>
      <c r="K35" s="66">
        <v>9</v>
      </c>
      <c r="L35" s="56" t="str">
        <f t="shared" si="12"/>
        <v/>
      </c>
      <c r="M35" s="57">
        <f t="shared" si="12"/>
        <v>0</v>
      </c>
      <c r="N35" s="57">
        <f t="shared" si="12"/>
        <v>0</v>
      </c>
      <c r="O35" s="56" t="str">
        <f t="shared" si="12"/>
        <v/>
      </c>
      <c r="P35" s="58" t="e">
        <f t="shared" si="13"/>
        <v>#VALUE!</v>
      </c>
      <c r="Q35" s="54">
        <v>330</v>
      </c>
      <c r="R35" s="55">
        <f t="shared" si="14"/>
        <v>0.94285714285714284</v>
      </c>
      <c r="S35" s="55" t="e">
        <f t="shared" si="15"/>
        <v>#VALUE!</v>
      </c>
      <c r="T35" s="54" t="e">
        <f t="shared" si="16"/>
        <v>#VALUE!</v>
      </c>
      <c r="U35" s="54">
        <v>-3.5</v>
      </c>
      <c r="V35" s="55">
        <f t="shared" si="10"/>
        <v>-0.58333333333333337</v>
      </c>
      <c r="W35" s="67" t="e">
        <f t="shared" si="11"/>
        <v>#VALUE!</v>
      </c>
      <c r="X35" s="44"/>
    </row>
    <row r="36" spans="1:24" ht="15" customHeight="1">
      <c r="A36" s="6">
        <v>33</v>
      </c>
      <c r="B36" s="7" t="str">
        <f>IF(Allocation!G35="","",VLOOKUP(A36,Allocation!$A$2:$I$47,3))</f>
        <v/>
      </c>
      <c r="C36" s="6" t="str">
        <f>IF(B36="","",VLOOKUP(A36,Allocation!$A$2:$I$47,4,))</f>
        <v/>
      </c>
      <c r="D36" s="6" t="str">
        <f>IF(B36="","",VLOOKUP(A36,Allocation!$A$2:$I$47,7,))</f>
        <v/>
      </c>
      <c r="F36" s="37" t="str">
        <f t="shared" si="17"/>
        <v/>
      </c>
      <c r="G36" s="127"/>
      <c r="H36" s="127"/>
      <c r="I36" s="38" t="str">
        <f t="shared" si="18"/>
        <v/>
      </c>
      <c r="K36" s="66">
        <v>10</v>
      </c>
      <c r="L36" s="56" t="str">
        <f t="shared" si="12"/>
        <v/>
      </c>
      <c r="M36" s="57">
        <f t="shared" si="12"/>
        <v>0</v>
      </c>
      <c r="N36" s="57">
        <f t="shared" si="12"/>
        <v>0</v>
      </c>
      <c r="O36" s="56" t="str">
        <f t="shared" si="12"/>
        <v/>
      </c>
      <c r="P36" s="58" t="e">
        <f t="shared" si="13"/>
        <v>#VALUE!</v>
      </c>
      <c r="Q36" s="54">
        <v>300</v>
      </c>
      <c r="R36" s="55">
        <f t="shared" si="14"/>
        <v>0.8571428571428571</v>
      </c>
      <c r="S36" s="55" t="e">
        <f t="shared" si="15"/>
        <v>#VALUE!</v>
      </c>
      <c r="T36" s="54" t="e">
        <f t="shared" si="16"/>
        <v>#VALUE!</v>
      </c>
      <c r="U36" s="54">
        <v>-4.5</v>
      </c>
      <c r="V36" s="55">
        <f t="shared" si="10"/>
        <v>-0.75</v>
      </c>
      <c r="W36" s="67" t="e">
        <f t="shared" si="11"/>
        <v>#VALUE!</v>
      </c>
      <c r="X36" s="44"/>
    </row>
    <row r="37" spans="1:24" ht="15" customHeight="1" thickBot="1">
      <c r="A37" s="6">
        <v>34</v>
      </c>
      <c r="B37" s="7" t="str">
        <f>IF(Allocation!G36="","",VLOOKUP(A37,Allocation!$A$2:$I$47,3))</f>
        <v/>
      </c>
      <c r="C37" s="6" t="str">
        <f>IF(B37="","",VLOOKUP(A37,Allocation!$A$2:$I$47,4,))</f>
        <v/>
      </c>
      <c r="D37" s="6" t="str">
        <f>IF(B37="","",VLOOKUP(A37,Allocation!$A$2:$I$47,7,))</f>
        <v/>
      </c>
      <c r="F37" s="34"/>
      <c r="G37" s="128"/>
      <c r="H37" s="40" t="str">
        <f>IF(G37="","",VLOOKUP(G37,$B$4:$C$48,2,))</f>
        <v/>
      </c>
      <c r="I37" s="35"/>
      <c r="K37" s="66"/>
      <c r="L37" s="54">
        <v>3</v>
      </c>
      <c r="M37" s="11"/>
      <c r="N37" s="11"/>
      <c r="O37" s="53"/>
      <c r="P37" s="54">
        <f t="shared" si="13"/>
        <v>-3</v>
      </c>
      <c r="Q37" s="54">
        <v>420</v>
      </c>
      <c r="R37" s="55">
        <f t="shared" si="14"/>
        <v>1.2</v>
      </c>
      <c r="S37" s="55">
        <f t="shared" si="15"/>
        <v>-3.5999999999999996</v>
      </c>
      <c r="T37" s="54" t="e">
        <f>H37+7</f>
        <v>#VALUE!</v>
      </c>
      <c r="U37" s="54">
        <v>-6</v>
      </c>
      <c r="V37" s="55">
        <f t="shared" si="10"/>
        <v>-1</v>
      </c>
      <c r="W37" s="67" t="e">
        <f t="shared" si="11"/>
        <v>#VALUE!</v>
      </c>
      <c r="X37" s="44"/>
    </row>
    <row r="38" spans="1:24" ht="15" customHeight="1" thickBot="1">
      <c r="A38" s="6">
        <v>35</v>
      </c>
      <c r="B38" s="7" t="str">
        <f>IF(Allocation!G37="","",VLOOKUP(A38,Allocation!$A$2:$I$47,3))</f>
        <v/>
      </c>
      <c r="C38" s="6" t="str">
        <f>IF(B38="","",VLOOKUP(A38,Allocation!$A$2:$I$47,4,))</f>
        <v/>
      </c>
      <c r="D38" s="6" t="str">
        <f>IF(B38="","",VLOOKUP(A38,Allocation!$A$2:$I$47,7,))</f>
        <v/>
      </c>
      <c r="K38" s="68"/>
      <c r="L38" s="69">
        <f>SUM(L27:L37)</f>
        <v>3</v>
      </c>
      <c r="M38" s="70"/>
      <c r="N38" s="70"/>
      <c r="O38" s="69">
        <f>SUM(O27:O37)</f>
        <v>0</v>
      </c>
      <c r="P38" s="71"/>
      <c r="Q38" s="71"/>
      <c r="R38" s="71"/>
      <c r="S38" s="76" t="e">
        <f>SUM(S27:S37)</f>
        <v>#VALUE!</v>
      </c>
      <c r="T38" s="71"/>
      <c r="U38" s="71"/>
      <c r="V38" s="72"/>
      <c r="W38" s="77" t="e">
        <f>SUM(W26:W37)</f>
        <v>#VALUE!</v>
      </c>
      <c r="X38" s="44"/>
    </row>
    <row r="39" spans="1:24" ht="15" customHeight="1">
      <c r="A39" s="6">
        <v>36</v>
      </c>
      <c r="B39" s="7" t="str">
        <f>IF(Allocation!G38="","",VLOOKUP(A39,Allocation!$A$2:$I$47,3))</f>
        <v/>
      </c>
      <c r="C39" s="6" t="str">
        <f>IF(B39="","",VLOOKUP(A39,Allocation!$A$2:$I$47,4,))</f>
        <v/>
      </c>
      <c r="D39" s="6" t="str">
        <f>IF(B39="","",VLOOKUP(A39,Allocation!$A$2:$I$47,7,))</f>
        <v/>
      </c>
      <c r="F39" s="42" t="s">
        <v>6</v>
      </c>
      <c r="K39" s="46"/>
      <c r="L39" s="47" t="s">
        <v>7</v>
      </c>
      <c r="M39" s="50"/>
      <c r="N39" s="51"/>
      <c r="O39" s="45">
        <v>87</v>
      </c>
      <c r="P39" s="48"/>
      <c r="Q39" s="48"/>
      <c r="R39" s="48"/>
      <c r="S39" s="52" t="s">
        <v>8</v>
      </c>
      <c r="T39" s="48"/>
      <c r="U39" s="48"/>
      <c r="V39" s="48"/>
      <c r="W39" s="52" t="s">
        <v>9</v>
      </c>
      <c r="X39" s="44"/>
    </row>
    <row r="40" spans="1:24" ht="15" customHeight="1">
      <c r="A40" s="6">
        <v>37</v>
      </c>
      <c r="B40" s="7" t="str">
        <f>IF(Allocation!G39="","",VLOOKUP(A40,Allocation!$A$2:$I$47,3))</f>
        <v/>
      </c>
      <c r="C40" s="6" t="str">
        <f>IF(B40="","",VLOOKUP(A40,Allocation!$A$2:$I$47,4,))</f>
        <v/>
      </c>
      <c r="D40" s="6" t="str">
        <f>IF(B40="","",VLOOKUP(A40,Allocation!$A$2:$I$47,7,))</f>
        <v/>
      </c>
      <c r="G40" s="127"/>
      <c r="H40" s="36" t="str">
        <f>IF(G40="","",VLOOKUP(G40,$B$4:$C$29,2,))</f>
        <v/>
      </c>
      <c r="K40" s="46"/>
      <c r="L40" s="58" t="str">
        <f>H40</f>
        <v/>
      </c>
      <c r="M40" s="73">
        <f>G40</f>
        <v>0</v>
      </c>
      <c r="N40" s="146" t="s">
        <v>10</v>
      </c>
      <c r="O40" s="147"/>
      <c r="P40" s="148"/>
      <c r="Q40" s="74">
        <f>SUM(O27:O36,L27:L36)</f>
        <v>0</v>
      </c>
      <c r="R40" s="48"/>
      <c r="S40" s="52" t="s">
        <v>11</v>
      </c>
      <c r="T40" s="48"/>
      <c r="U40" s="49"/>
      <c r="V40" s="48"/>
      <c r="W40" s="52" t="s">
        <v>11</v>
      </c>
      <c r="X40" s="44"/>
    </row>
    <row r="41" spans="1:24" ht="15" customHeight="1">
      <c r="A41" s="6">
        <v>38</v>
      </c>
      <c r="B41" s="7" t="str">
        <f>IF(Allocation!G40="","",VLOOKUP(A41,Allocation!$A$2:$I$47,3))</f>
        <v/>
      </c>
      <c r="C41" s="6" t="str">
        <f>IF(B41="","",VLOOKUP(A41,Allocation!$A$2:$I$47,4,))</f>
        <v/>
      </c>
      <c r="D41" s="6" t="str">
        <f>IF(B41="","",VLOOKUP(A41,Allocation!$A$2:$I$47,7,))</f>
        <v/>
      </c>
      <c r="G41" s="127"/>
      <c r="H41" s="36" t="str">
        <f t="shared" ref="H41:H43" si="19">IF(G41="","",VLOOKUP(G41,$B$4:$C$29,2,))</f>
        <v/>
      </c>
      <c r="K41" s="46"/>
      <c r="L41" s="58" t="str">
        <f>H41</f>
        <v/>
      </c>
      <c r="M41" s="73">
        <f>G41</f>
        <v>0</v>
      </c>
      <c r="N41" s="146" t="s">
        <v>12</v>
      </c>
      <c r="O41" s="147"/>
      <c r="P41" s="148"/>
      <c r="Q41" s="74">
        <f>SUM(O27:O36,L27:L36)/20</f>
        <v>0</v>
      </c>
      <c r="R41" s="49"/>
      <c r="S41" s="107" t="s">
        <v>84</v>
      </c>
      <c r="T41" s="49"/>
      <c r="U41" s="49"/>
      <c r="V41" s="48"/>
      <c r="W41" s="107" t="s">
        <v>85</v>
      </c>
      <c r="X41" s="44"/>
    </row>
    <row r="42" spans="1:24" ht="15" customHeight="1">
      <c r="A42" s="6">
        <v>39</v>
      </c>
      <c r="B42" s="7" t="str">
        <f>IF(Allocation!G41="","",VLOOKUP(A42,Allocation!$A$2:$I$47,3))</f>
        <v/>
      </c>
      <c r="C42" s="6" t="str">
        <f>IF(B42="","",VLOOKUP(A42,Allocation!$A$2:$I$47,4,))</f>
        <v/>
      </c>
      <c r="D42" s="6" t="str">
        <f>IF(B42="","",VLOOKUP(A42,Allocation!$A$2:$I$47,7,))</f>
        <v/>
      </c>
      <c r="G42" s="127"/>
      <c r="H42" s="36" t="str">
        <f t="shared" si="19"/>
        <v/>
      </c>
      <c r="K42" s="46"/>
      <c r="L42" s="58" t="str">
        <f>H42</f>
        <v/>
      </c>
      <c r="M42" s="73">
        <f>G42</f>
        <v>0</v>
      </c>
      <c r="N42" s="146" t="s">
        <v>13</v>
      </c>
      <c r="O42" s="147"/>
      <c r="P42" s="148"/>
      <c r="Q42" s="74" t="e">
        <f>SUM(Q40,T37,T26,650)</f>
        <v>#VALUE!</v>
      </c>
      <c r="R42" s="49"/>
      <c r="S42" s="49"/>
      <c r="T42" s="49"/>
      <c r="U42" s="49"/>
      <c r="V42" s="48"/>
      <c r="W42" s="48"/>
      <c r="X42" s="44"/>
    </row>
    <row r="43" spans="1:24" ht="15" customHeight="1">
      <c r="A43" s="6">
        <v>40</v>
      </c>
      <c r="B43" s="7" t="str">
        <f>IF(Allocation!G42="","",VLOOKUP(A43,Allocation!$A$2:$I$47,3))</f>
        <v/>
      </c>
      <c r="C43" s="6" t="str">
        <f>IF(B43="","",VLOOKUP(A43,Allocation!$A$2:$I$47,4,))</f>
        <v/>
      </c>
      <c r="D43" s="6" t="str">
        <f>IF(B43="","",VLOOKUP(A43,Allocation!$A$2:$I$47,7,))</f>
        <v/>
      </c>
      <c r="G43" s="127"/>
      <c r="H43" s="36" t="str">
        <f t="shared" si="19"/>
        <v/>
      </c>
      <c r="K43" s="46"/>
      <c r="L43" s="58" t="str">
        <f>H43</f>
        <v/>
      </c>
      <c r="M43" s="73">
        <f>G43</f>
        <v>0</v>
      </c>
      <c r="N43" s="146" t="s">
        <v>14</v>
      </c>
      <c r="O43" s="147"/>
      <c r="P43" s="148"/>
      <c r="Q43" s="75" t="e">
        <f>SUM(Q40,T37,T26,650)/20</f>
        <v>#VALUE!</v>
      </c>
      <c r="R43" s="49"/>
      <c r="S43" s="49"/>
      <c r="T43" s="49"/>
      <c r="U43" s="49"/>
      <c r="V43" s="48"/>
      <c r="W43" s="48"/>
      <c r="X43" s="44"/>
    </row>
    <row r="44" spans="1:24" ht="15" customHeight="1">
      <c r="A44" s="6">
        <v>41</v>
      </c>
      <c r="B44" s="7" t="str">
        <f>IF(Allocation!G43="","",VLOOKUP(A44,Allocation!$A$2:$I$47,3))</f>
        <v/>
      </c>
      <c r="C44" s="6" t="str">
        <f>IF(B44="","",VLOOKUP(A44,Allocation!$A$2:$I$47,4,))</f>
        <v/>
      </c>
      <c r="D44" s="6" t="str">
        <f>IF(B44="","",VLOOKUP(A44,Allocation!$A$2:$I$47,7,))</f>
        <v/>
      </c>
      <c r="X44" s="44"/>
    </row>
    <row r="45" spans="1:24" ht="15" customHeight="1">
      <c r="A45" s="6">
        <v>42</v>
      </c>
      <c r="B45" s="7" t="str">
        <f>IF(Allocation!G44="","",VLOOKUP(A45,Allocation!$A$2:$I$47,3))</f>
        <v/>
      </c>
      <c r="C45" s="6" t="str">
        <f>IF(B45="","",VLOOKUP(A45,Allocation!$A$2:$I$47,4,))</f>
        <v/>
      </c>
      <c r="D45" s="6" t="str">
        <f>IF(B45="","",VLOOKUP(A45,Allocation!$A$2:$I$47,7,))</f>
        <v/>
      </c>
    </row>
    <row r="46" spans="1:24" ht="15" customHeight="1" thickBot="1">
      <c r="A46" s="6">
        <v>43</v>
      </c>
      <c r="B46" s="7" t="str">
        <f>IF(Allocation!G45="","",VLOOKUP(A46,Allocation!$A$2:$I$47,3))</f>
        <v/>
      </c>
      <c r="C46" s="6" t="str">
        <f>IF(B46="","",VLOOKUP(A46,Allocation!$A$2:$I$47,4,))</f>
        <v/>
      </c>
      <c r="D46" s="6" t="str">
        <f>IF(B46="","",VLOOKUP(A46,Allocation!$A$2:$I$47,7,))</f>
        <v/>
      </c>
      <c r="F46" s="43" t="s">
        <v>16</v>
      </c>
    </row>
    <row r="47" spans="1:24" ht="15" customHeight="1">
      <c r="A47" s="6">
        <v>44</v>
      </c>
      <c r="B47" s="7" t="str">
        <f>IF(Allocation!G46="","",VLOOKUP(A47,Allocation!$A$2:$I$47,3))</f>
        <v/>
      </c>
      <c r="C47" s="6" t="str">
        <f>IF(B47="","",VLOOKUP(A47,Allocation!$A$2:$I$47,4,))</f>
        <v/>
      </c>
      <c r="D47" s="6" t="str">
        <f>IF(B47="","",VLOOKUP(A47,Allocation!$A$2:$I$47,7,))</f>
        <v/>
      </c>
      <c r="F47" s="32"/>
      <c r="G47" s="126"/>
      <c r="H47" s="39" t="str">
        <f>IF(G47="","",VLOOKUP(G47,$B$4:$C$48,2,))</f>
        <v/>
      </c>
      <c r="I47" s="33"/>
      <c r="K47" s="59"/>
      <c r="L47" s="60" t="s">
        <v>3</v>
      </c>
      <c r="M47" s="61" t="s">
        <v>4</v>
      </c>
      <c r="N47" s="61" t="s">
        <v>5</v>
      </c>
      <c r="O47" s="60" t="s">
        <v>3</v>
      </c>
      <c r="P47" s="62"/>
      <c r="Q47" s="62"/>
      <c r="R47" s="62"/>
      <c r="S47" s="62"/>
      <c r="T47" s="63" t="e">
        <f>H47+14</f>
        <v>#VALUE!</v>
      </c>
      <c r="U47" s="63">
        <v>6</v>
      </c>
      <c r="V47" s="64">
        <f t="shared" ref="V47:V58" si="20">(U47)/6</f>
        <v>1</v>
      </c>
      <c r="W47" s="65" t="e">
        <f t="shared" ref="W47:W58" si="21">V47*T47</f>
        <v>#VALUE!</v>
      </c>
    </row>
    <row r="48" spans="1:24" ht="15" customHeight="1">
      <c r="A48" s="6">
        <v>45</v>
      </c>
      <c r="B48" s="7" t="str">
        <f>IF(Allocation!G47="","",VLOOKUP(A48,Allocation!$A$2:$I$47,3))</f>
        <v/>
      </c>
      <c r="C48" s="6" t="str">
        <f>IF(B48="","",VLOOKUP(A48,Allocation!$A$2:$I$47,4,))</f>
        <v/>
      </c>
      <c r="D48" s="6" t="str">
        <f>IF(B48="","",VLOOKUP(A48,Allocation!$A$2:$I$47,7,))</f>
        <v/>
      </c>
      <c r="F48" s="37" t="str">
        <f>IF(G48="","",VLOOKUP(G48,$B$4:$C$48,2,))</f>
        <v/>
      </c>
      <c r="G48" s="127"/>
      <c r="H48" s="127"/>
      <c r="I48" s="38" t="str">
        <f>IF(H48="","",VLOOKUP(H48,$B$4:$C$48,2,))</f>
        <v/>
      </c>
      <c r="K48" s="66">
        <v>1</v>
      </c>
      <c r="L48" s="56" t="str">
        <f t="shared" ref="L48:O57" si="22">F48</f>
        <v/>
      </c>
      <c r="M48" s="57">
        <f t="shared" si="22"/>
        <v>0</v>
      </c>
      <c r="N48" s="57">
        <f t="shared" si="22"/>
        <v>0</v>
      </c>
      <c r="O48" s="56" t="str">
        <f t="shared" si="22"/>
        <v/>
      </c>
      <c r="P48" s="58" t="e">
        <f t="shared" ref="P48:P58" si="23">O48-L48</f>
        <v>#VALUE!</v>
      </c>
      <c r="Q48" s="54">
        <v>300</v>
      </c>
      <c r="R48" s="55">
        <f t="shared" ref="R48:R58" si="24">Q48/350</f>
        <v>0.8571428571428571</v>
      </c>
      <c r="S48" s="55" t="e">
        <f t="shared" ref="S48:S58" si="25">P48*R48</f>
        <v>#VALUE!</v>
      </c>
      <c r="T48" s="54" t="e">
        <f t="shared" ref="T48:T57" si="26">L48+O48</f>
        <v>#VALUE!</v>
      </c>
      <c r="U48" s="54">
        <v>4.5</v>
      </c>
      <c r="V48" s="55">
        <f t="shared" si="20"/>
        <v>0.75</v>
      </c>
      <c r="W48" s="67" t="e">
        <f t="shared" si="21"/>
        <v>#VALUE!</v>
      </c>
      <c r="X48" s="44"/>
    </row>
    <row r="49" spans="1:24" ht="15" customHeight="1">
      <c r="A49" s="106"/>
      <c r="B49" s="94"/>
      <c r="C49" s="94"/>
      <c r="D49" s="94"/>
      <c r="F49" s="37" t="str">
        <f t="shared" ref="F49:F57" si="27">IF(G49="","",VLOOKUP(G49,$B$4:$C$48,2,))</f>
        <v/>
      </c>
      <c r="G49" s="127"/>
      <c r="H49" s="127"/>
      <c r="I49" s="38" t="str">
        <f t="shared" ref="I49:I57" si="28">IF(H49="","",VLOOKUP(H49,$B$4:$C$29,2,))</f>
        <v/>
      </c>
      <c r="K49" s="66">
        <v>2</v>
      </c>
      <c r="L49" s="56" t="str">
        <f t="shared" si="22"/>
        <v/>
      </c>
      <c r="M49" s="57">
        <f t="shared" si="22"/>
        <v>0</v>
      </c>
      <c r="N49" s="57">
        <f t="shared" si="22"/>
        <v>0</v>
      </c>
      <c r="O49" s="56" t="str">
        <f t="shared" si="22"/>
        <v/>
      </c>
      <c r="P49" s="58" t="e">
        <f t="shared" si="23"/>
        <v>#VALUE!</v>
      </c>
      <c r="Q49" s="54">
        <v>330</v>
      </c>
      <c r="R49" s="55">
        <f t="shared" si="24"/>
        <v>0.94285714285714284</v>
      </c>
      <c r="S49" s="55" t="e">
        <f t="shared" si="25"/>
        <v>#VALUE!</v>
      </c>
      <c r="T49" s="54" t="e">
        <f t="shared" si="26"/>
        <v>#VALUE!</v>
      </c>
      <c r="U49" s="54">
        <v>3.5</v>
      </c>
      <c r="V49" s="55">
        <f t="shared" si="20"/>
        <v>0.58333333333333337</v>
      </c>
      <c r="W49" s="67" t="e">
        <f t="shared" si="21"/>
        <v>#VALUE!</v>
      </c>
      <c r="X49" s="44"/>
    </row>
    <row r="50" spans="1:24" ht="15" customHeight="1">
      <c r="A50" s="106"/>
      <c r="B50" s="94"/>
      <c r="C50" s="94"/>
      <c r="D50" s="94"/>
      <c r="F50" s="37" t="str">
        <f t="shared" si="27"/>
        <v/>
      </c>
      <c r="G50" s="127"/>
      <c r="H50" s="127"/>
      <c r="I50" s="38" t="str">
        <f t="shared" si="28"/>
        <v/>
      </c>
      <c r="K50" s="66">
        <v>3</v>
      </c>
      <c r="L50" s="56" t="str">
        <f t="shared" si="22"/>
        <v/>
      </c>
      <c r="M50" s="57">
        <f t="shared" si="22"/>
        <v>0</v>
      </c>
      <c r="N50" s="57">
        <f t="shared" si="22"/>
        <v>0</v>
      </c>
      <c r="O50" s="56" t="str">
        <f t="shared" si="22"/>
        <v/>
      </c>
      <c r="P50" s="58" t="e">
        <f t="shared" si="23"/>
        <v>#VALUE!</v>
      </c>
      <c r="Q50" s="54">
        <v>350</v>
      </c>
      <c r="R50" s="55">
        <f t="shared" si="24"/>
        <v>1</v>
      </c>
      <c r="S50" s="55" t="e">
        <f t="shared" si="25"/>
        <v>#VALUE!</v>
      </c>
      <c r="T50" s="54" t="e">
        <f t="shared" si="26"/>
        <v>#VALUE!</v>
      </c>
      <c r="U50" s="54">
        <v>2.5</v>
      </c>
      <c r="V50" s="55">
        <f t="shared" si="20"/>
        <v>0.41666666666666669</v>
      </c>
      <c r="W50" s="67" t="e">
        <f t="shared" si="21"/>
        <v>#VALUE!</v>
      </c>
      <c r="X50" s="44"/>
    </row>
    <row r="51" spans="1:24" ht="15" customHeight="1">
      <c r="A51" s="106"/>
      <c r="B51" s="94"/>
      <c r="C51" s="94"/>
      <c r="D51" s="94"/>
      <c r="F51" s="37" t="str">
        <f t="shared" si="27"/>
        <v/>
      </c>
      <c r="G51" s="127"/>
      <c r="H51" s="127"/>
      <c r="I51" s="38" t="str">
        <f t="shared" si="28"/>
        <v/>
      </c>
      <c r="K51" s="66">
        <v>4</v>
      </c>
      <c r="L51" s="56" t="str">
        <f t="shared" si="22"/>
        <v/>
      </c>
      <c r="M51" s="57">
        <f t="shared" si="22"/>
        <v>0</v>
      </c>
      <c r="N51" s="57">
        <f t="shared" si="22"/>
        <v>0</v>
      </c>
      <c r="O51" s="56" t="str">
        <f t="shared" si="22"/>
        <v/>
      </c>
      <c r="P51" s="58" t="e">
        <f t="shared" si="23"/>
        <v>#VALUE!</v>
      </c>
      <c r="Q51" s="54">
        <v>350</v>
      </c>
      <c r="R51" s="55">
        <f t="shared" si="24"/>
        <v>1</v>
      </c>
      <c r="S51" s="55" t="e">
        <f t="shared" si="25"/>
        <v>#VALUE!</v>
      </c>
      <c r="T51" s="54" t="e">
        <f t="shared" si="26"/>
        <v>#VALUE!</v>
      </c>
      <c r="U51" s="54">
        <v>1.5</v>
      </c>
      <c r="V51" s="55">
        <f t="shared" si="20"/>
        <v>0.25</v>
      </c>
      <c r="W51" s="67" t="e">
        <f t="shared" si="21"/>
        <v>#VALUE!</v>
      </c>
      <c r="X51" s="44"/>
    </row>
    <row r="52" spans="1:24" ht="15" customHeight="1">
      <c r="A52" s="106"/>
      <c r="B52" s="94"/>
      <c r="C52" s="94"/>
      <c r="D52" s="94"/>
      <c r="F52" s="37" t="str">
        <f t="shared" si="27"/>
        <v/>
      </c>
      <c r="G52" s="127"/>
      <c r="H52" s="127"/>
      <c r="I52" s="38" t="str">
        <f t="shared" si="28"/>
        <v/>
      </c>
      <c r="K52" s="66">
        <v>5</v>
      </c>
      <c r="L52" s="56" t="str">
        <f t="shared" si="22"/>
        <v/>
      </c>
      <c r="M52" s="57">
        <f t="shared" si="22"/>
        <v>0</v>
      </c>
      <c r="N52" s="57">
        <f t="shared" si="22"/>
        <v>0</v>
      </c>
      <c r="O52" s="56" t="str">
        <f t="shared" si="22"/>
        <v/>
      </c>
      <c r="P52" s="58" t="e">
        <f t="shared" si="23"/>
        <v>#VALUE!</v>
      </c>
      <c r="Q52" s="54">
        <v>350</v>
      </c>
      <c r="R52" s="55">
        <f t="shared" si="24"/>
        <v>1</v>
      </c>
      <c r="S52" s="55" t="e">
        <f t="shared" si="25"/>
        <v>#VALUE!</v>
      </c>
      <c r="T52" s="54" t="e">
        <f t="shared" si="26"/>
        <v>#VALUE!</v>
      </c>
      <c r="U52" s="54">
        <v>0.5</v>
      </c>
      <c r="V52" s="55">
        <f t="shared" si="20"/>
        <v>8.3333333333333329E-2</v>
      </c>
      <c r="W52" s="67" t="e">
        <f t="shared" si="21"/>
        <v>#VALUE!</v>
      </c>
      <c r="X52" s="44"/>
    </row>
    <row r="53" spans="1:24" ht="15" customHeight="1">
      <c r="A53" s="106"/>
      <c r="B53" s="94"/>
      <c r="C53" s="94"/>
      <c r="D53" s="94"/>
      <c r="F53" s="37" t="str">
        <f t="shared" si="27"/>
        <v/>
      </c>
      <c r="G53" s="127"/>
      <c r="H53" s="127"/>
      <c r="I53" s="38" t="str">
        <f t="shared" si="28"/>
        <v/>
      </c>
      <c r="K53" s="66">
        <v>6</v>
      </c>
      <c r="L53" s="56" t="str">
        <f t="shared" si="22"/>
        <v/>
      </c>
      <c r="M53" s="57">
        <f t="shared" si="22"/>
        <v>0</v>
      </c>
      <c r="N53" s="57">
        <f t="shared" si="22"/>
        <v>0</v>
      </c>
      <c r="O53" s="56" t="str">
        <f t="shared" si="22"/>
        <v/>
      </c>
      <c r="P53" s="58" t="e">
        <f t="shared" si="23"/>
        <v>#VALUE!</v>
      </c>
      <c r="Q53" s="54">
        <v>350</v>
      </c>
      <c r="R53" s="55">
        <f t="shared" si="24"/>
        <v>1</v>
      </c>
      <c r="S53" s="55" t="e">
        <f t="shared" si="25"/>
        <v>#VALUE!</v>
      </c>
      <c r="T53" s="54" t="e">
        <f t="shared" si="26"/>
        <v>#VALUE!</v>
      </c>
      <c r="U53" s="54">
        <v>-0.5</v>
      </c>
      <c r="V53" s="55">
        <f t="shared" si="20"/>
        <v>-8.3333333333333329E-2</v>
      </c>
      <c r="W53" s="67" t="e">
        <f t="shared" si="21"/>
        <v>#VALUE!</v>
      </c>
      <c r="X53" s="44"/>
    </row>
    <row r="54" spans="1:24" ht="15" customHeight="1">
      <c r="A54" s="106"/>
      <c r="B54" s="94"/>
      <c r="C54" s="94"/>
      <c r="D54" s="94"/>
      <c r="F54" s="37" t="str">
        <f t="shared" si="27"/>
        <v/>
      </c>
      <c r="G54" s="127"/>
      <c r="H54" s="127"/>
      <c r="I54" s="38" t="str">
        <f t="shared" si="28"/>
        <v/>
      </c>
      <c r="K54" s="66">
        <v>7</v>
      </c>
      <c r="L54" s="56" t="str">
        <f t="shared" si="22"/>
        <v/>
      </c>
      <c r="M54" s="57">
        <f t="shared" si="22"/>
        <v>0</v>
      </c>
      <c r="N54" s="57">
        <f t="shared" si="22"/>
        <v>0</v>
      </c>
      <c r="O54" s="56" t="str">
        <f t="shared" si="22"/>
        <v/>
      </c>
      <c r="P54" s="58" t="e">
        <f t="shared" si="23"/>
        <v>#VALUE!</v>
      </c>
      <c r="Q54" s="54">
        <v>350</v>
      </c>
      <c r="R54" s="55">
        <f t="shared" si="24"/>
        <v>1</v>
      </c>
      <c r="S54" s="55" t="e">
        <f t="shared" si="25"/>
        <v>#VALUE!</v>
      </c>
      <c r="T54" s="54" t="e">
        <f t="shared" si="26"/>
        <v>#VALUE!</v>
      </c>
      <c r="U54" s="54">
        <v>-1.5</v>
      </c>
      <c r="V54" s="55">
        <f t="shared" si="20"/>
        <v>-0.25</v>
      </c>
      <c r="W54" s="67" t="e">
        <f t="shared" si="21"/>
        <v>#VALUE!</v>
      </c>
      <c r="X54" s="44"/>
    </row>
    <row r="55" spans="1:24" ht="15" customHeight="1">
      <c r="A55" s="106"/>
      <c r="B55" s="94"/>
      <c r="C55" s="94"/>
      <c r="D55" s="94"/>
      <c r="F55" s="37" t="str">
        <f t="shared" si="27"/>
        <v/>
      </c>
      <c r="G55" s="127"/>
      <c r="H55" s="127"/>
      <c r="I55" s="38" t="str">
        <f t="shared" si="28"/>
        <v/>
      </c>
      <c r="K55" s="66">
        <v>8</v>
      </c>
      <c r="L55" s="56" t="str">
        <f t="shared" si="22"/>
        <v/>
      </c>
      <c r="M55" s="57">
        <f t="shared" si="22"/>
        <v>0</v>
      </c>
      <c r="N55" s="57">
        <f t="shared" si="22"/>
        <v>0</v>
      </c>
      <c r="O55" s="56" t="str">
        <f t="shared" si="22"/>
        <v/>
      </c>
      <c r="P55" s="58" t="e">
        <f t="shared" si="23"/>
        <v>#VALUE!</v>
      </c>
      <c r="Q55" s="54">
        <v>350</v>
      </c>
      <c r="R55" s="55">
        <f t="shared" si="24"/>
        <v>1</v>
      </c>
      <c r="S55" s="55" t="e">
        <f t="shared" si="25"/>
        <v>#VALUE!</v>
      </c>
      <c r="T55" s="54" t="e">
        <f t="shared" si="26"/>
        <v>#VALUE!</v>
      </c>
      <c r="U55" s="54">
        <v>-2.5</v>
      </c>
      <c r="V55" s="55">
        <f t="shared" si="20"/>
        <v>-0.41666666666666669</v>
      </c>
      <c r="W55" s="67" t="e">
        <f t="shared" si="21"/>
        <v>#VALUE!</v>
      </c>
      <c r="X55" s="44"/>
    </row>
    <row r="56" spans="1:24" ht="15" customHeight="1">
      <c r="A56" s="106"/>
      <c r="B56" s="94"/>
      <c r="C56" s="94"/>
      <c r="D56" s="94"/>
      <c r="F56" s="37" t="str">
        <f t="shared" si="27"/>
        <v/>
      </c>
      <c r="G56" s="127"/>
      <c r="H56" s="127"/>
      <c r="I56" s="38" t="str">
        <f t="shared" si="28"/>
        <v/>
      </c>
      <c r="K56" s="66">
        <v>9</v>
      </c>
      <c r="L56" s="56" t="str">
        <f t="shared" si="22"/>
        <v/>
      </c>
      <c r="M56" s="57">
        <f t="shared" si="22"/>
        <v>0</v>
      </c>
      <c r="N56" s="57">
        <f t="shared" si="22"/>
        <v>0</v>
      </c>
      <c r="O56" s="56" t="str">
        <f t="shared" si="22"/>
        <v/>
      </c>
      <c r="P56" s="58" t="e">
        <f t="shared" si="23"/>
        <v>#VALUE!</v>
      </c>
      <c r="Q56" s="54">
        <v>330</v>
      </c>
      <c r="R56" s="55">
        <f t="shared" si="24"/>
        <v>0.94285714285714284</v>
      </c>
      <c r="S56" s="55" t="e">
        <f t="shared" si="25"/>
        <v>#VALUE!</v>
      </c>
      <c r="T56" s="54" t="e">
        <f t="shared" si="26"/>
        <v>#VALUE!</v>
      </c>
      <c r="U56" s="54">
        <v>-3.5</v>
      </c>
      <c r="V56" s="55">
        <f t="shared" si="20"/>
        <v>-0.58333333333333337</v>
      </c>
      <c r="W56" s="67" t="e">
        <f t="shared" si="21"/>
        <v>#VALUE!</v>
      </c>
      <c r="X56" s="44"/>
    </row>
    <row r="57" spans="1:24" ht="15" customHeight="1">
      <c r="F57" s="37" t="str">
        <f t="shared" si="27"/>
        <v/>
      </c>
      <c r="G57" s="127"/>
      <c r="H57" s="127"/>
      <c r="I57" s="38" t="str">
        <f t="shared" si="28"/>
        <v/>
      </c>
      <c r="K57" s="66">
        <v>10</v>
      </c>
      <c r="L57" s="56" t="str">
        <f t="shared" si="22"/>
        <v/>
      </c>
      <c r="M57" s="57">
        <f t="shared" si="22"/>
        <v>0</v>
      </c>
      <c r="N57" s="57">
        <f t="shared" si="22"/>
        <v>0</v>
      </c>
      <c r="O57" s="56" t="str">
        <f t="shared" si="22"/>
        <v/>
      </c>
      <c r="P57" s="58" t="e">
        <f t="shared" si="23"/>
        <v>#VALUE!</v>
      </c>
      <c r="Q57" s="54">
        <v>300</v>
      </c>
      <c r="R57" s="55">
        <f t="shared" si="24"/>
        <v>0.8571428571428571</v>
      </c>
      <c r="S57" s="55" t="e">
        <f t="shared" si="25"/>
        <v>#VALUE!</v>
      </c>
      <c r="T57" s="54" t="e">
        <f t="shared" si="26"/>
        <v>#VALUE!</v>
      </c>
      <c r="U57" s="54">
        <v>-4.5</v>
      </c>
      <c r="V57" s="55">
        <f t="shared" si="20"/>
        <v>-0.75</v>
      </c>
      <c r="W57" s="67" t="e">
        <f t="shared" si="21"/>
        <v>#VALUE!</v>
      </c>
      <c r="X57" s="44"/>
    </row>
    <row r="58" spans="1:24" ht="15" customHeight="1" thickBot="1">
      <c r="F58" s="34"/>
      <c r="G58" s="128"/>
      <c r="H58" s="40" t="str">
        <f>IF(G58="","",VLOOKUP(G58,$B$4:$C$48,2,))</f>
        <v/>
      </c>
      <c r="I58" s="35"/>
      <c r="K58" s="66"/>
      <c r="L58" s="54">
        <v>3</v>
      </c>
      <c r="M58" s="11"/>
      <c r="N58" s="11"/>
      <c r="O58" s="53"/>
      <c r="P58" s="54">
        <f t="shared" si="23"/>
        <v>-3</v>
      </c>
      <c r="Q58" s="54">
        <v>420</v>
      </c>
      <c r="R58" s="55">
        <f t="shared" si="24"/>
        <v>1.2</v>
      </c>
      <c r="S58" s="55">
        <f t="shared" si="25"/>
        <v>-3.5999999999999996</v>
      </c>
      <c r="T58" s="54" t="e">
        <f>H58+7</f>
        <v>#VALUE!</v>
      </c>
      <c r="U58" s="54">
        <v>-6</v>
      </c>
      <c r="V58" s="55">
        <f t="shared" si="20"/>
        <v>-1</v>
      </c>
      <c r="W58" s="67" t="e">
        <f t="shared" si="21"/>
        <v>#VALUE!</v>
      </c>
      <c r="X58" s="44"/>
    </row>
    <row r="59" spans="1:24" ht="15" customHeight="1" thickBot="1">
      <c r="K59" s="68"/>
      <c r="L59" s="69">
        <f>SUM(L48:L58)</f>
        <v>3</v>
      </c>
      <c r="M59" s="70"/>
      <c r="N59" s="70"/>
      <c r="O59" s="69">
        <f>SUM(O48:O58)</f>
        <v>0</v>
      </c>
      <c r="P59" s="71"/>
      <c r="Q59" s="71"/>
      <c r="R59" s="71"/>
      <c r="S59" s="76" t="e">
        <f>SUM(S48:S58)</f>
        <v>#VALUE!</v>
      </c>
      <c r="T59" s="71"/>
      <c r="U59" s="71"/>
      <c r="V59" s="72"/>
      <c r="W59" s="77" t="e">
        <f>SUM(W47:W58)</f>
        <v>#VALUE!</v>
      </c>
      <c r="X59" s="44"/>
    </row>
    <row r="60" spans="1:24" ht="15" customHeight="1">
      <c r="F60" s="42" t="s">
        <v>6</v>
      </c>
      <c r="K60" s="46"/>
      <c r="L60" s="47" t="s">
        <v>7</v>
      </c>
      <c r="M60" s="50"/>
      <c r="N60" s="51"/>
      <c r="O60" s="45">
        <v>87</v>
      </c>
      <c r="P60" s="48"/>
      <c r="Q60" s="48"/>
      <c r="R60" s="48"/>
      <c r="S60" s="52" t="s">
        <v>8</v>
      </c>
      <c r="T60" s="48"/>
      <c r="U60" s="48"/>
      <c r="V60" s="48"/>
      <c r="W60" s="52" t="s">
        <v>9</v>
      </c>
      <c r="X60" s="44"/>
    </row>
    <row r="61" spans="1:24" ht="15" customHeight="1">
      <c r="G61" s="127"/>
      <c r="H61" s="36" t="str">
        <f>IF(G61="","",VLOOKUP(G61,$B$4:$C$29,2,))</f>
        <v/>
      </c>
      <c r="K61" s="46"/>
      <c r="L61" s="58" t="str">
        <f>H61</f>
        <v/>
      </c>
      <c r="M61" s="73">
        <f>G61</f>
        <v>0</v>
      </c>
      <c r="N61" s="146" t="s">
        <v>10</v>
      </c>
      <c r="O61" s="147"/>
      <c r="P61" s="148"/>
      <c r="Q61" s="74">
        <f>SUM(O48:O57,L48:L57)</f>
        <v>0</v>
      </c>
      <c r="R61" s="48"/>
      <c r="S61" s="52" t="s">
        <v>11</v>
      </c>
      <c r="T61" s="48"/>
      <c r="U61" s="49"/>
      <c r="V61" s="48"/>
      <c r="W61" s="52" t="s">
        <v>11</v>
      </c>
      <c r="X61" s="44"/>
    </row>
    <row r="62" spans="1:24" ht="15" customHeight="1">
      <c r="G62" s="127"/>
      <c r="H62" s="36" t="str">
        <f t="shared" ref="H62:H64" si="29">IF(G62="","",VLOOKUP(G62,$B$4:$C$29,2,))</f>
        <v/>
      </c>
      <c r="K62" s="46"/>
      <c r="L62" s="58" t="str">
        <f>H62</f>
        <v/>
      </c>
      <c r="M62" s="73">
        <f>G62</f>
        <v>0</v>
      </c>
      <c r="N62" s="146" t="s">
        <v>12</v>
      </c>
      <c r="O62" s="147"/>
      <c r="P62" s="148"/>
      <c r="Q62" s="74">
        <f>SUM(O48:O57,L48:L57)/20</f>
        <v>0</v>
      </c>
      <c r="R62" s="49"/>
      <c r="S62" s="107" t="s">
        <v>84</v>
      </c>
      <c r="T62" s="49"/>
      <c r="U62" s="49"/>
      <c r="V62" s="48"/>
      <c r="W62" s="107" t="s">
        <v>85</v>
      </c>
      <c r="X62" s="44"/>
    </row>
    <row r="63" spans="1:24" ht="15" customHeight="1">
      <c r="G63" s="127"/>
      <c r="H63" s="36" t="str">
        <f t="shared" si="29"/>
        <v/>
      </c>
      <c r="K63" s="46"/>
      <c r="L63" s="58" t="str">
        <f>H63</f>
        <v/>
      </c>
      <c r="M63" s="73">
        <f>G63</f>
        <v>0</v>
      </c>
      <c r="N63" s="146" t="s">
        <v>13</v>
      </c>
      <c r="O63" s="147"/>
      <c r="P63" s="148"/>
      <c r="Q63" s="74" t="e">
        <f>SUM(Q61,T58,T47,650)</f>
        <v>#VALUE!</v>
      </c>
      <c r="R63" s="49"/>
      <c r="S63" s="49"/>
      <c r="T63" s="49"/>
      <c r="U63" s="49"/>
      <c r="V63" s="48"/>
      <c r="W63" s="48"/>
      <c r="X63" s="44"/>
    </row>
    <row r="64" spans="1:24" ht="15" customHeight="1">
      <c r="G64" s="127"/>
      <c r="H64" s="36" t="str">
        <f t="shared" si="29"/>
        <v/>
      </c>
      <c r="K64" s="46"/>
      <c r="L64" s="58" t="str">
        <f>H64</f>
        <v/>
      </c>
      <c r="M64" s="73">
        <f>G64</f>
        <v>0</v>
      </c>
      <c r="N64" s="146" t="s">
        <v>14</v>
      </c>
      <c r="O64" s="147"/>
      <c r="P64" s="148"/>
      <c r="Q64" s="75" t="e">
        <f>SUM(Q61,T58,T47,650)/20</f>
        <v>#VALUE!</v>
      </c>
      <c r="R64" s="49"/>
      <c r="S64" s="49"/>
      <c r="T64" s="49"/>
      <c r="U64" s="49"/>
      <c r="V64" s="48"/>
      <c r="W64" s="48"/>
      <c r="X64" s="44"/>
    </row>
    <row r="65" spans="24:24" ht="15" customHeight="1">
      <c r="X65" s="44"/>
    </row>
    <row r="66" spans="24:24" ht="15" customHeight="1"/>
  </sheetData>
  <sheetProtection algorithmName="SHA-512" hashValue="BMutYYXzCzW+a8D2oocGF/4xJQSpVJpQuZe5zMzVyHpV8QEbPVCVraNWJ1jjEr8vdRKjcyUEO2PsmRUhD3oNCQ==" saltValue="aJ+Dx3guTcZXIlZdb/00gA==" spinCount="100000" sheet="1" objects="1" scenarios="1"/>
  <mergeCells count="14">
    <mergeCell ref="N22:P22"/>
    <mergeCell ref="G2:P2"/>
    <mergeCell ref="G3:P3"/>
    <mergeCell ref="N19:P19"/>
    <mergeCell ref="N20:P20"/>
    <mergeCell ref="N21:P21"/>
    <mergeCell ref="N63:P63"/>
    <mergeCell ref="N64:P64"/>
    <mergeCell ref="N40:P40"/>
    <mergeCell ref="N41:P41"/>
    <mergeCell ref="N42:P42"/>
    <mergeCell ref="N43:P43"/>
    <mergeCell ref="N61:P61"/>
    <mergeCell ref="N62:P62"/>
  </mergeCells>
  <conditionalFormatting sqref="D4:D56">
    <cfRule type="containsText" dxfId="5" priority="1" operator="containsText" text="sweep">
      <formula>NOT(ISERROR(SEARCH("sweep",D4)))</formula>
    </cfRule>
    <cfRule type="containsText" dxfId="4" priority="2" operator="containsText" text="drum">
      <formula>NOT(ISERROR(SEARCH("drum",D4)))</formula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V66"/>
  <sheetViews>
    <sheetView zoomScale="90" zoomScaleNormal="90" workbookViewId="0">
      <selection activeCell="G31" sqref="G31"/>
    </sheetView>
  </sheetViews>
  <sheetFormatPr defaultColWidth="8.85546875" defaultRowHeight="15"/>
  <cols>
    <col min="1" max="1" width="4.5703125" style="2" customWidth="1"/>
    <col min="2" max="2" width="24.140625" style="2" customWidth="1"/>
    <col min="3" max="3" width="7.5703125" style="2" bestFit="1" customWidth="1"/>
    <col min="4" max="4" width="11" style="2" bestFit="1" customWidth="1"/>
    <col min="5" max="256" width="8.85546875" style="2" customWidth="1"/>
  </cols>
  <sheetData>
    <row r="1" spans="1:24" ht="15" customHeight="1"/>
    <row r="2" spans="1:24" ht="15" customHeight="1">
      <c r="F2" s="41"/>
      <c r="G2" s="151" t="s">
        <v>83</v>
      </c>
      <c r="H2" s="151"/>
      <c r="I2" s="151"/>
      <c r="J2" s="151"/>
      <c r="K2" s="151"/>
      <c r="L2" s="151"/>
      <c r="M2" s="151"/>
      <c r="N2" s="151"/>
      <c r="O2" s="151"/>
      <c r="P2" s="151"/>
    </row>
    <row r="3" spans="1:24" ht="15" customHeight="1">
      <c r="A3" s="108" t="s">
        <v>79</v>
      </c>
      <c r="B3" s="30" t="s">
        <v>0</v>
      </c>
      <c r="C3" s="31" t="s">
        <v>19</v>
      </c>
      <c r="D3" s="31" t="s">
        <v>17</v>
      </c>
      <c r="F3" s="44"/>
      <c r="G3" s="149"/>
      <c r="H3" s="149"/>
      <c r="I3" s="149"/>
      <c r="J3" s="149"/>
      <c r="K3" s="149"/>
      <c r="L3" s="149"/>
      <c r="M3" s="149"/>
      <c r="N3" s="149"/>
      <c r="O3" s="149"/>
      <c r="P3" s="149"/>
    </row>
    <row r="4" spans="1:24" ht="16.5" customHeight="1" thickBot="1">
      <c r="A4" s="6">
        <v>1</v>
      </c>
      <c r="B4" s="7" t="str">
        <f>IF(Allocation!H3="","",VLOOKUP(A4,Allocation!$A$2:$I$47,3))</f>
        <v>Mary-Alice</v>
      </c>
      <c r="C4" s="6">
        <f>IF(B4="","",VLOOKUP(A4,Allocation!$A$2:$I$47,4,))</f>
        <v>70</v>
      </c>
      <c r="D4" s="6">
        <f>IF(B4="","",VLOOKUP(A4,Allocation!$A$2:$I$47,8,))</f>
        <v>3</v>
      </c>
      <c r="F4" s="43" t="s">
        <v>2</v>
      </c>
    </row>
    <row r="5" spans="1:24" ht="15.75" customHeight="1">
      <c r="A5" s="6">
        <v>2</v>
      </c>
      <c r="B5" s="7" t="str">
        <f>IF(Allocation!H4="","",VLOOKUP(A5,Allocation!$A$2:$I$47,3))</f>
        <v>Amanda D</v>
      </c>
      <c r="C5" s="6">
        <f>IF(B5="","",VLOOKUP(A5,Allocation!$A$2:$I$47,4,))</f>
        <v>70</v>
      </c>
      <c r="D5" s="6">
        <f>IF(B5="","",VLOOKUP(A5,Allocation!$A$2:$I$47,8,))</f>
        <v>0</v>
      </c>
      <c r="F5" s="32"/>
      <c r="G5" s="126" t="s">
        <v>32</v>
      </c>
      <c r="H5" s="39">
        <f>IF(G5="","",VLOOKUP(G5,$B$4:$C$48,2,))</f>
        <v>63</v>
      </c>
      <c r="I5" s="33"/>
      <c r="K5" s="59"/>
      <c r="L5" s="60" t="s">
        <v>3</v>
      </c>
      <c r="M5" s="61" t="s">
        <v>4</v>
      </c>
      <c r="N5" s="61" t="s">
        <v>5</v>
      </c>
      <c r="O5" s="60" t="s">
        <v>3</v>
      </c>
      <c r="P5" s="62"/>
      <c r="Q5" s="62"/>
      <c r="R5" s="62"/>
      <c r="S5" s="62"/>
      <c r="T5" s="63">
        <f>H5+14</f>
        <v>77</v>
      </c>
      <c r="U5" s="63">
        <v>6</v>
      </c>
      <c r="V5" s="64">
        <f t="shared" ref="V5:V16" si="0">(U5)/6</f>
        <v>1</v>
      </c>
      <c r="W5" s="65">
        <f t="shared" ref="W5:W16" si="1">V5*T5</f>
        <v>77</v>
      </c>
      <c r="X5" s="44"/>
    </row>
    <row r="6" spans="1:24" ht="15" customHeight="1">
      <c r="A6" s="6">
        <v>3</v>
      </c>
      <c r="B6" s="7" t="str">
        <f>IF(Allocation!H5="","",VLOOKUP(A6,Allocation!$A$2:$I$47,3))</f>
        <v>Amanda F</v>
      </c>
      <c r="C6" s="6">
        <f>IF(B6="","",VLOOKUP(A6,Allocation!$A$2:$I$47,4,))</f>
        <v>75</v>
      </c>
      <c r="D6" s="6">
        <f>IF(B6="","",VLOOKUP(A6,Allocation!$A$2:$I$47,8,))</f>
        <v>3</v>
      </c>
      <c r="F6" s="37">
        <f>IF(G6="","",VLOOKUP(G6,$B$4:$C$48,2,))</f>
        <v>84</v>
      </c>
      <c r="G6" s="127" t="s">
        <v>103</v>
      </c>
      <c r="H6" s="127" t="s">
        <v>115</v>
      </c>
      <c r="I6" s="38">
        <f>IF(H6="","",VLOOKUP(H6,$B$4:$C$48,2,))</f>
        <v>75</v>
      </c>
      <c r="K6" s="66">
        <v>1</v>
      </c>
      <c r="L6" s="56">
        <f t="shared" ref="L6:O15" si="2">F6</f>
        <v>84</v>
      </c>
      <c r="M6" s="57" t="str">
        <f t="shared" si="2"/>
        <v>Diego E</v>
      </c>
      <c r="N6" s="57" t="str">
        <f t="shared" si="2"/>
        <v>Andrew B</v>
      </c>
      <c r="O6" s="56">
        <f t="shared" si="2"/>
        <v>75</v>
      </c>
      <c r="P6" s="58">
        <f t="shared" ref="P6:P16" si="3">O6-L6</f>
        <v>-9</v>
      </c>
      <c r="Q6" s="54">
        <v>300</v>
      </c>
      <c r="R6" s="55">
        <f t="shared" ref="R6:R16" si="4">Q6/350</f>
        <v>0.8571428571428571</v>
      </c>
      <c r="S6" s="55">
        <f t="shared" ref="S6:S16" si="5">P6*R6</f>
        <v>-7.7142857142857135</v>
      </c>
      <c r="T6" s="54">
        <f t="shared" ref="T6:T15" si="6">L6+O6</f>
        <v>159</v>
      </c>
      <c r="U6" s="54">
        <v>4.5</v>
      </c>
      <c r="V6" s="55">
        <f t="shared" si="0"/>
        <v>0.75</v>
      </c>
      <c r="W6" s="67">
        <f t="shared" si="1"/>
        <v>119.25</v>
      </c>
      <c r="X6" s="44"/>
    </row>
    <row r="7" spans="1:24" ht="15" customHeight="1">
      <c r="A7" s="6">
        <v>4</v>
      </c>
      <c r="B7" s="7" t="str">
        <f>IF(Allocation!H6="","",VLOOKUP(A7,Allocation!$A$2:$I$47,3))</f>
        <v/>
      </c>
      <c r="C7" s="6" t="str">
        <f>IF(B7="","",VLOOKUP(A7,Allocation!$A$2:$I$47,4,))</f>
        <v/>
      </c>
      <c r="D7" s="6" t="str">
        <f>IF(B7="","",VLOOKUP(A7,Allocation!$A$2:$I$47,8,))</f>
        <v/>
      </c>
      <c r="F7" s="37">
        <f t="shared" ref="F7:F15" si="7">IF(G7="","",VLOOKUP(G7,$B$4:$C$48,2,))</f>
        <v>91</v>
      </c>
      <c r="G7" s="127" t="s">
        <v>48</v>
      </c>
      <c r="H7" s="127" t="s">
        <v>99</v>
      </c>
      <c r="I7" s="38">
        <f t="shared" ref="I7:I15" si="8">IF(H7="","",VLOOKUP(H7,$B$4:$C$48,2,))</f>
        <v>65</v>
      </c>
      <c r="K7" s="66">
        <v>2</v>
      </c>
      <c r="L7" s="56">
        <f t="shared" si="2"/>
        <v>91</v>
      </c>
      <c r="M7" s="57" t="str">
        <f t="shared" si="2"/>
        <v>Paul J</v>
      </c>
      <c r="N7" s="57" t="str">
        <f t="shared" si="2"/>
        <v>Andrea M</v>
      </c>
      <c r="O7" s="56">
        <f t="shared" si="2"/>
        <v>65</v>
      </c>
      <c r="P7" s="58">
        <f t="shared" si="3"/>
        <v>-26</v>
      </c>
      <c r="Q7" s="54">
        <v>330</v>
      </c>
      <c r="R7" s="55">
        <f t="shared" si="4"/>
        <v>0.94285714285714284</v>
      </c>
      <c r="S7" s="55">
        <f t="shared" si="5"/>
        <v>-24.514285714285712</v>
      </c>
      <c r="T7" s="54">
        <f t="shared" si="6"/>
        <v>156</v>
      </c>
      <c r="U7" s="54">
        <v>3.5</v>
      </c>
      <c r="V7" s="55">
        <f t="shared" si="0"/>
        <v>0.58333333333333337</v>
      </c>
      <c r="W7" s="67">
        <f t="shared" si="1"/>
        <v>91</v>
      </c>
      <c r="X7" s="44"/>
    </row>
    <row r="8" spans="1:24" ht="15" customHeight="1">
      <c r="A8" s="6">
        <v>5</v>
      </c>
      <c r="B8" s="7" t="str">
        <f>IF(Allocation!H7="","",VLOOKUP(A8,Allocation!$A$2:$I$47,3))</f>
        <v/>
      </c>
      <c r="C8" s="6" t="str">
        <f>IF(B8="","",VLOOKUP(A8,Allocation!$A$2:$I$47,4,))</f>
        <v/>
      </c>
      <c r="D8" s="6" t="str">
        <f>IF(B8="","",VLOOKUP(A8,Allocation!$A$2:$I$47,8,))</f>
        <v/>
      </c>
      <c r="F8" s="37">
        <f t="shared" si="7"/>
        <v>75</v>
      </c>
      <c r="G8" s="127" t="s">
        <v>37</v>
      </c>
      <c r="H8" s="127" t="s">
        <v>111</v>
      </c>
      <c r="I8" s="38">
        <f t="shared" si="8"/>
        <v>77</v>
      </c>
      <c r="K8" s="66">
        <v>3</v>
      </c>
      <c r="L8" s="56">
        <f t="shared" si="2"/>
        <v>75</v>
      </c>
      <c r="M8" s="57" t="str">
        <f t="shared" si="2"/>
        <v>Amanda F</v>
      </c>
      <c r="N8" s="57" t="str">
        <f t="shared" si="2"/>
        <v>Andrew H</v>
      </c>
      <c r="O8" s="56">
        <f t="shared" si="2"/>
        <v>77</v>
      </c>
      <c r="P8" s="58">
        <f t="shared" si="3"/>
        <v>2</v>
      </c>
      <c r="Q8" s="54">
        <v>350</v>
      </c>
      <c r="R8" s="55">
        <f t="shared" si="4"/>
        <v>1</v>
      </c>
      <c r="S8" s="55">
        <f t="shared" si="5"/>
        <v>2</v>
      </c>
      <c r="T8" s="54">
        <f t="shared" si="6"/>
        <v>152</v>
      </c>
      <c r="U8" s="54">
        <v>2.5</v>
      </c>
      <c r="V8" s="55">
        <f t="shared" si="0"/>
        <v>0.41666666666666669</v>
      </c>
      <c r="W8" s="67">
        <f t="shared" si="1"/>
        <v>63.333333333333336</v>
      </c>
      <c r="X8" s="44"/>
    </row>
    <row r="9" spans="1:24" ht="15" customHeight="1">
      <c r="A9" s="6">
        <v>6</v>
      </c>
      <c r="B9" s="7" t="str">
        <f>IF(Allocation!H8="","",VLOOKUP(A9,Allocation!$A$2:$I$47,3))</f>
        <v>Bibiana A</v>
      </c>
      <c r="C9" s="6">
        <f>IF(B9="","",VLOOKUP(A9,Allocation!$A$2:$I$47,4,))</f>
        <v>75</v>
      </c>
      <c r="D9" s="6">
        <f>IF(B9="","",VLOOKUP(A9,Allocation!$A$2:$I$47,8,))</f>
        <v>3</v>
      </c>
      <c r="F9" s="37">
        <f t="shared" si="7"/>
        <v>95</v>
      </c>
      <c r="G9" s="127" t="s">
        <v>47</v>
      </c>
      <c r="H9" s="127" t="s">
        <v>50</v>
      </c>
      <c r="I9" s="38">
        <f t="shared" si="8"/>
        <v>90</v>
      </c>
      <c r="K9" s="66">
        <v>4</v>
      </c>
      <c r="L9" s="56">
        <f t="shared" si="2"/>
        <v>95</v>
      </c>
      <c r="M9" s="57" t="str">
        <f t="shared" si="2"/>
        <v>Kiran R</v>
      </c>
      <c r="N9" s="57" t="str">
        <f t="shared" si="2"/>
        <v>Detlef H</v>
      </c>
      <c r="O9" s="56">
        <f t="shared" si="2"/>
        <v>90</v>
      </c>
      <c r="P9" s="58">
        <f t="shared" si="3"/>
        <v>-5</v>
      </c>
      <c r="Q9" s="54">
        <v>350</v>
      </c>
      <c r="R9" s="55">
        <f t="shared" si="4"/>
        <v>1</v>
      </c>
      <c r="S9" s="55">
        <f t="shared" si="5"/>
        <v>-5</v>
      </c>
      <c r="T9" s="54">
        <f t="shared" si="6"/>
        <v>185</v>
      </c>
      <c r="U9" s="54">
        <v>1.5</v>
      </c>
      <c r="V9" s="55">
        <f t="shared" si="0"/>
        <v>0.25</v>
      </c>
      <c r="W9" s="67">
        <f t="shared" si="1"/>
        <v>46.25</v>
      </c>
      <c r="X9" s="44"/>
    </row>
    <row r="10" spans="1:24" ht="15" customHeight="1">
      <c r="A10" s="6">
        <v>7</v>
      </c>
      <c r="B10" s="7" t="str">
        <f>IF(Allocation!H9="","",VLOOKUP(A10,Allocation!$A$2:$I$47,3))</f>
        <v>Deb H</v>
      </c>
      <c r="C10" s="6">
        <f>IF(B10="","",VLOOKUP(A10,Allocation!$A$2:$I$47,4,))</f>
        <v>64</v>
      </c>
      <c r="D10" s="6">
        <f>IF(B10="","",VLOOKUP(A10,Allocation!$A$2:$I$47,8,))</f>
        <v>0</v>
      </c>
      <c r="F10" s="37">
        <f t="shared" si="7"/>
        <v>67</v>
      </c>
      <c r="G10" s="127" t="s">
        <v>132</v>
      </c>
      <c r="H10" s="127" t="s">
        <v>105</v>
      </c>
      <c r="I10" s="38">
        <f t="shared" si="8"/>
        <v>70</v>
      </c>
      <c r="K10" s="66">
        <v>5</v>
      </c>
      <c r="L10" s="56">
        <f t="shared" si="2"/>
        <v>67</v>
      </c>
      <c r="M10" s="57" t="str">
        <f t="shared" si="2"/>
        <v>Anne-Marie</v>
      </c>
      <c r="N10" s="57" t="str">
        <f t="shared" si="2"/>
        <v>Mary-Alice</v>
      </c>
      <c r="O10" s="56">
        <f t="shared" si="2"/>
        <v>70</v>
      </c>
      <c r="P10" s="58">
        <f t="shared" si="3"/>
        <v>3</v>
      </c>
      <c r="Q10" s="54">
        <v>350</v>
      </c>
      <c r="R10" s="55">
        <f t="shared" si="4"/>
        <v>1</v>
      </c>
      <c r="S10" s="55">
        <f t="shared" si="5"/>
        <v>3</v>
      </c>
      <c r="T10" s="54">
        <f t="shared" si="6"/>
        <v>137</v>
      </c>
      <c r="U10" s="54">
        <v>0.5</v>
      </c>
      <c r="V10" s="55">
        <f t="shared" si="0"/>
        <v>8.3333333333333329E-2</v>
      </c>
      <c r="W10" s="67">
        <f t="shared" si="1"/>
        <v>11.416666666666666</v>
      </c>
      <c r="X10" s="44"/>
    </row>
    <row r="11" spans="1:24" ht="15" customHeight="1">
      <c r="A11" s="6">
        <v>8</v>
      </c>
      <c r="B11" s="7" t="str">
        <f>IF(Allocation!H10="","",VLOOKUP(A11,Allocation!$A$2:$I$47,3))</f>
        <v>Amy</v>
      </c>
      <c r="C11" s="6">
        <f>IF(B11="","",VLOOKUP(A11,Allocation!$A$2:$I$47,4,))</f>
        <v>65</v>
      </c>
      <c r="D11" s="6">
        <f>IF(B11="","",VLOOKUP(A11,Allocation!$A$2:$I$47,8,))</f>
        <v>3</v>
      </c>
      <c r="F11" s="37">
        <f t="shared" si="7"/>
        <v>68</v>
      </c>
      <c r="G11" s="127" t="s">
        <v>148</v>
      </c>
      <c r="H11" s="127" t="s">
        <v>52</v>
      </c>
      <c r="I11" s="38">
        <f t="shared" si="8"/>
        <v>85</v>
      </c>
      <c r="K11" s="66">
        <v>6</v>
      </c>
      <c r="L11" s="56">
        <f t="shared" si="2"/>
        <v>68</v>
      </c>
      <c r="M11" s="57" t="str">
        <f t="shared" si="2"/>
        <v>Jaid</v>
      </c>
      <c r="N11" s="57" t="str">
        <f t="shared" si="2"/>
        <v>Rachael H</v>
      </c>
      <c r="O11" s="56">
        <f t="shared" si="2"/>
        <v>85</v>
      </c>
      <c r="P11" s="58">
        <f t="shared" si="3"/>
        <v>17</v>
      </c>
      <c r="Q11" s="54">
        <v>350</v>
      </c>
      <c r="R11" s="55">
        <f t="shared" si="4"/>
        <v>1</v>
      </c>
      <c r="S11" s="55">
        <f t="shared" si="5"/>
        <v>17</v>
      </c>
      <c r="T11" s="54">
        <f t="shared" si="6"/>
        <v>153</v>
      </c>
      <c r="U11" s="54">
        <v>-0.5</v>
      </c>
      <c r="V11" s="55">
        <f t="shared" si="0"/>
        <v>-8.3333333333333329E-2</v>
      </c>
      <c r="W11" s="67">
        <f t="shared" si="1"/>
        <v>-12.75</v>
      </c>
      <c r="X11" s="44"/>
    </row>
    <row r="12" spans="1:24" ht="15" customHeight="1">
      <c r="A12" s="6">
        <v>9</v>
      </c>
      <c r="B12" s="7" t="str">
        <f>IF(Allocation!H11="","",VLOOKUP(A12,Allocation!$A$2:$I$47,3))</f>
        <v>Jocelyn K</v>
      </c>
      <c r="C12" s="6">
        <f>IF(B12="","",VLOOKUP(A12,Allocation!$A$2:$I$47,4,))</f>
        <v>58</v>
      </c>
      <c r="D12" s="6">
        <f>IF(B12="","",VLOOKUP(A12,Allocation!$A$2:$I$47,8,))</f>
        <v>0</v>
      </c>
      <c r="F12" s="37">
        <f t="shared" si="7"/>
        <v>47</v>
      </c>
      <c r="G12" s="127" t="s">
        <v>138</v>
      </c>
      <c r="H12" s="127" t="s">
        <v>134</v>
      </c>
      <c r="I12" s="38">
        <f t="shared" si="8"/>
        <v>64</v>
      </c>
      <c r="K12" s="66">
        <v>7</v>
      </c>
      <c r="L12" s="56">
        <f t="shared" si="2"/>
        <v>47</v>
      </c>
      <c r="M12" s="57" t="str">
        <f t="shared" si="2"/>
        <v>Alice S</v>
      </c>
      <c r="N12" s="57" t="str">
        <f t="shared" si="2"/>
        <v>Liz Mc</v>
      </c>
      <c r="O12" s="56">
        <f t="shared" si="2"/>
        <v>64</v>
      </c>
      <c r="P12" s="58">
        <f t="shared" si="3"/>
        <v>17</v>
      </c>
      <c r="Q12" s="54">
        <v>350</v>
      </c>
      <c r="R12" s="55">
        <f t="shared" si="4"/>
        <v>1</v>
      </c>
      <c r="S12" s="55">
        <f t="shared" si="5"/>
        <v>17</v>
      </c>
      <c r="T12" s="54">
        <f t="shared" si="6"/>
        <v>111</v>
      </c>
      <c r="U12" s="54">
        <v>-1.5</v>
      </c>
      <c r="V12" s="55">
        <f t="shared" si="0"/>
        <v>-0.25</v>
      </c>
      <c r="W12" s="67">
        <f t="shared" si="1"/>
        <v>-27.75</v>
      </c>
      <c r="X12" s="44"/>
    </row>
    <row r="13" spans="1:24" ht="15" customHeight="1">
      <c r="A13" s="6">
        <v>10</v>
      </c>
      <c r="B13" s="7" t="str">
        <f>IF(Allocation!H12="","",VLOOKUP(A13,Allocation!$A$2:$I$47,3))</f>
        <v/>
      </c>
      <c r="C13" s="6" t="str">
        <f>IF(B13="","",VLOOKUP(A13,Allocation!$A$2:$I$47,4,))</f>
        <v/>
      </c>
      <c r="D13" s="6" t="str">
        <f>IF(B13="","",VLOOKUP(A13,Allocation!$A$2:$I$47,8,))</f>
        <v/>
      </c>
      <c r="F13" s="37">
        <f t="shared" si="7"/>
        <v>75</v>
      </c>
      <c r="G13" s="127" t="s">
        <v>124</v>
      </c>
      <c r="H13" s="127" t="s">
        <v>146</v>
      </c>
      <c r="I13" s="38">
        <f t="shared" si="8"/>
        <v>71</v>
      </c>
      <c r="K13" s="66">
        <v>8</v>
      </c>
      <c r="L13" s="56">
        <f t="shared" si="2"/>
        <v>75</v>
      </c>
      <c r="M13" s="57" t="str">
        <f t="shared" si="2"/>
        <v>Bibiana A</v>
      </c>
      <c r="N13" s="57" t="str">
        <f t="shared" si="2"/>
        <v>Marc</v>
      </c>
      <c r="O13" s="56">
        <f t="shared" si="2"/>
        <v>71</v>
      </c>
      <c r="P13" s="58">
        <f t="shared" si="3"/>
        <v>-4</v>
      </c>
      <c r="Q13" s="54">
        <v>350</v>
      </c>
      <c r="R13" s="55">
        <f t="shared" si="4"/>
        <v>1</v>
      </c>
      <c r="S13" s="55">
        <f t="shared" si="5"/>
        <v>-4</v>
      </c>
      <c r="T13" s="54">
        <f t="shared" si="6"/>
        <v>146</v>
      </c>
      <c r="U13" s="54">
        <v>-2.5</v>
      </c>
      <c r="V13" s="55">
        <f t="shared" si="0"/>
        <v>-0.41666666666666669</v>
      </c>
      <c r="W13" s="67">
        <f t="shared" si="1"/>
        <v>-60.833333333333336</v>
      </c>
      <c r="X13" s="44"/>
    </row>
    <row r="14" spans="1:24" ht="15" customHeight="1">
      <c r="A14" s="6">
        <v>11</v>
      </c>
      <c r="B14" s="7" t="str">
        <f>IF(Allocation!H13="","",VLOOKUP(A14,Allocation!$A$2:$I$47,3))</f>
        <v/>
      </c>
      <c r="C14" s="6" t="str">
        <f>IF(B14="","",VLOOKUP(A14,Allocation!$A$2:$I$47,4,))</f>
        <v/>
      </c>
      <c r="D14" s="6" t="str">
        <f>IF(B14="","",VLOOKUP(A14,Allocation!$A$2:$I$47,8,))</f>
        <v/>
      </c>
      <c r="F14" s="37">
        <f t="shared" si="7"/>
        <v>82</v>
      </c>
      <c r="G14" s="127" t="s">
        <v>140</v>
      </c>
      <c r="H14" s="127" t="s">
        <v>144</v>
      </c>
      <c r="I14" s="38">
        <f t="shared" si="8"/>
        <v>90</v>
      </c>
      <c r="K14" s="66">
        <v>9</v>
      </c>
      <c r="L14" s="56">
        <f t="shared" si="2"/>
        <v>82</v>
      </c>
      <c r="M14" s="57" t="str">
        <f t="shared" si="2"/>
        <v>Michael H</v>
      </c>
      <c r="N14" s="57" t="str">
        <f t="shared" si="2"/>
        <v>Richard V</v>
      </c>
      <c r="O14" s="56">
        <f t="shared" si="2"/>
        <v>90</v>
      </c>
      <c r="P14" s="58">
        <f t="shared" si="3"/>
        <v>8</v>
      </c>
      <c r="Q14" s="54">
        <v>330</v>
      </c>
      <c r="R14" s="55">
        <f t="shared" si="4"/>
        <v>0.94285714285714284</v>
      </c>
      <c r="S14" s="55">
        <f t="shared" si="5"/>
        <v>7.5428571428571427</v>
      </c>
      <c r="T14" s="54">
        <f t="shared" si="6"/>
        <v>172</v>
      </c>
      <c r="U14" s="54">
        <v>-3.5</v>
      </c>
      <c r="V14" s="55">
        <f t="shared" si="0"/>
        <v>-0.58333333333333337</v>
      </c>
      <c r="W14" s="67">
        <f t="shared" si="1"/>
        <v>-100.33333333333334</v>
      </c>
      <c r="X14" s="44"/>
    </row>
    <row r="15" spans="1:24" ht="15" customHeight="1">
      <c r="A15" s="6">
        <v>12</v>
      </c>
      <c r="B15" s="7" t="str">
        <f>IF(Allocation!H14="","",VLOOKUP(A15,Allocation!$A$2:$I$47,3))</f>
        <v>S-J</v>
      </c>
      <c r="C15" s="6">
        <f>IF(B15="","",VLOOKUP(A15,Allocation!$A$2:$I$47,4,))</f>
        <v>62</v>
      </c>
      <c r="D15" s="6">
        <f>IF(B15="","",VLOOKUP(A15,Allocation!$A$2:$I$47,8,))</f>
        <v>0</v>
      </c>
      <c r="F15" s="37">
        <f t="shared" si="7"/>
        <v>65</v>
      </c>
      <c r="G15" s="127" t="s">
        <v>122</v>
      </c>
      <c r="H15" s="127" t="s">
        <v>33</v>
      </c>
      <c r="I15" s="38">
        <f t="shared" si="8"/>
        <v>64</v>
      </c>
      <c r="K15" s="66">
        <v>10</v>
      </c>
      <c r="L15" s="56">
        <f t="shared" si="2"/>
        <v>65</v>
      </c>
      <c r="M15" s="57" t="str">
        <f t="shared" si="2"/>
        <v>Amy</v>
      </c>
      <c r="N15" s="57" t="str">
        <f t="shared" si="2"/>
        <v>Simon F</v>
      </c>
      <c r="O15" s="56">
        <f t="shared" si="2"/>
        <v>64</v>
      </c>
      <c r="P15" s="58">
        <f t="shared" si="3"/>
        <v>-1</v>
      </c>
      <c r="Q15" s="54">
        <v>300</v>
      </c>
      <c r="R15" s="55">
        <f t="shared" si="4"/>
        <v>0.8571428571428571</v>
      </c>
      <c r="S15" s="55">
        <f t="shared" si="5"/>
        <v>-0.8571428571428571</v>
      </c>
      <c r="T15" s="54">
        <f t="shared" si="6"/>
        <v>129</v>
      </c>
      <c r="U15" s="54">
        <v>-4.5</v>
      </c>
      <c r="V15" s="55">
        <f t="shared" si="0"/>
        <v>-0.75</v>
      </c>
      <c r="W15" s="67">
        <f t="shared" si="1"/>
        <v>-96.75</v>
      </c>
      <c r="X15" s="44"/>
    </row>
    <row r="16" spans="1:24" ht="15.75" customHeight="1" thickBot="1">
      <c r="A16" s="6">
        <v>13</v>
      </c>
      <c r="B16" s="7" t="str">
        <f>IF(Allocation!H15="","",VLOOKUP(A16,Allocation!$A$2:$I$47,3))</f>
        <v>Sue T</v>
      </c>
      <c r="C16" s="6">
        <f>IF(B16="","",VLOOKUP(A16,Allocation!$A$2:$I$47,4,))</f>
        <v>63</v>
      </c>
      <c r="D16" s="6" t="str">
        <f>IF(B16="","",VLOOKUP(A16,Allocation!$A$2:$I$47,8,))</f>
        <v>Drum</v>
      </c>
      <c r="F16" s="34"/>
      <c r="G16" s="128" t="s">
        <v>43</v>
      </c>
      <c r="H16" s="40">
        <f>IF(G16="","",VLOOKUP(G16,$B$4:$C$48,2,))</f>
        <v>73</v>
      </c>
      <c r="I16" s="35"/>
      <c r="K16" s="66"/>
      <c r="L16" s="54">
        <v>3</v>
      </c>
      <c r="M16" s="11"/>
      <c r="N16" s="11"/>
      <c r="O16" s="53"/>
      <c r="P16" s="54">
        <f t="shared" si="3"/>
        <v>-3</v>
      </c>
      <c r="Q16" s="54">
        <v>420</v>
      </c>
      <c r="R16" s="55">
        <f t="shared" si="4"/>
        <v>1.2</v>
      </c>
      <c r="S16" s="55">
        <f t="shared" si="5"/>
        <v>-3.5999999999999996</v>
      </c>
      <c r="T16" s="54">
        <f>H16+7</f>
        <v>80</v>
      </c>
      <c r="U16" s="54">
        <v>-6</v>
      </c>
      <c r="V16" s="55">
        <f t="shared" si="0"/>
        <v>-1</v>
      </c>
      <c r="W16" s="67">
        <f t="shared" si="1"/>
        <v>-80</v>
      </c>
      <c r="X16" s="44"/>
    </row>
    <row r="17" spans="1:24" ht="15.6" customHeight="1" thickBot="1">
      <c r="A17" s="6">
        <v>14</v>
      </c>
      <c r="B17" s="7" t="str">
        <f>IF(Allocation!H16="","",VLOOKUP(A17,Allocation!$A$2:$I$47,3))</f>
        <v/>
      </c>
      <c r="C17" s="6" t="str">
        <f>IF(B17="","",VLOOKUP(A17,Allocation!$A$2:$I$47,4,))</f>
        <v/>
      </c>
      <c r="D17" s="6" t="str">
        <f>IF(B17="","",VLOOKUP(A17,Allocation!$A$2:$I$47,8,))</f>
        <v/>
      </c>
      <c r="K17" s="68"/>
      <c r="L17" s="69">
        <f>SUM(L6:L16)</f>
        <v>752</v>
      </c>
      <c r="M17" s="70"/>
      <c r="N17" s="70"/>
      <c r="O17" s="69">
        <f>SUM(O6:O16)</f>
        <v>751</v>
      </c>
      <c r="P17" s="71"/>
      <c r="Q17" s="71"/>
      <c r="R17" s="71"/>
      <c r="S17" s="76">
        <f>SUM(S6:S16)</f>
        <v>0.85714285714285854</v>
      </c>
      <c r="T17" s="71"/>
      <c r="U17" s="71"/>
      <c r="V17" s="72"/>
      <c r="W17" s="77">
        <f>SUM(W5:W16)</f>
        <v>29.833333333333343</v>
      </c>
      <c r="X17" s="44"/>
    </row>
    <row r="18" spans="1:24" ht="15" customHeight="1">
      <c r="A18" s="6">
        <v>15</v>
      </c>
      <c r="B18" s="7" t="str">
        <f>IF(Allocation!H17="","",VLOOKUP(A18,Allocation!$A$2:$I$47,3))</f>
        <v/>
      </c>
      <c r="C18" s="6" t="str">
        <f>IF(B18="","",VLOOKUP(A18,Allocation!$A$2:$I$47,4,))</f>
        <v/>
      </c>
      <c r="D18" s="6" t="str">
        <f>IF(B18="","",VLOOKUP(A18,Allocation!$A$2:$I$47,8,))</f>
        <v/>
      </c>
      <c r="F18" s="42" t="s">
        <v>6</v>
      </c>
      <c r="K18" s="46"/>
      <c r="L18" s="47" t="s">
        <v>7</v>
      </c>
      <c r="M18" s="50"/>
      <c r="N18" s="51"/>
      <c r="O18" s="45">
        <v>87</v>
      </c>
      <c r="P18" s="48"/>
      <c r="Q18" s="48"/>
      <c r="R18" s="48"/>
      <c r="S18" s="52" t="s">
        <v>8</v>
      </c>
      <c r="T18" s="48"/>
      <c r="U18" s="48"/>
      <c r="V18" s="48"/>
      <c r="W18" s="52" t="s">
        <v>9</v>
      </c>
      <c r="X18" s="44"/>
    </row>
    <row r="19" spans="1:24" ht="15" customHeight="1">
      <c r="A19" s="6">
        <v>16</v>
      </c>
      <c r="B19" s="7" t="str">
        <f>IF(Allocation!H18="","",VLOOKUP(A19,Allocation!$A$2:$I$47,3))</f>
        <v/>
      </c>
      <c r="C19" s="6" t="str">
        <f>IF(B19="","",VLOOKUP(A19,Allocation!$A$2:$I$47,4,))</f>
        <v/>
      </c>
      <c r="D19" s="6" t="str">
        <f>IF(B19="","",VLOOKUP(A19,Allocation!$A$2:$I$47,8,))</f>
        <v/>
      </c>
      <c r="G19" s="127" t="s">
        <v>40</v>
      </c>
      <c r="H19" s="36">
        <f>IF(G19="","",VLOOKUP(G19,$B$4:$C$29,2,))</f>
        <v>70</v>
      </c>
      <c r="K19" s="46"/>
      <c r="L19" s="58">
        <f>H19</f>
        <v>70</v>
      </c>
      <c r="M19" s="73" t="str">
        <f>G19</f>
        <v>Amanda D</v>
      </c>
      <c r="N19" s="146" t="s">
        <v>10</v>
      </c>
      <c r="O19" s="147"/>
      <c r="P19" s="148"/>
      <c r="Q19" s="74">
        <f>SUM(O6:O15,L6:L15)</f>
        <v>1500</v>
      </c>
      <c r="R19" s="48"/>
      <c r="S19" s="52" t="s">
        <v>11</v>
      </c>
      <c r="T19" s="48"/>
      <c r="U19" s="49"/>
      <c r="V19" s="48"/>
      <c r="W19" s="52" t="s">
        <v>11</v>
      </c>
      <c r="X19" s="44"/>
    </row>
    <row r="20" spans="1:24" ht="15" customHeight="1">
      <c r="A20" s="6">
        <v>17</v>
      </c>
      <c r="B20" s="7" t="str">
        <f>IF(Allocation!H19="","",VLOOKUP(A20,Allocation!$A$2:$I$47,3))</f>
        <v>Anne-Marie</v>
      </c>
      <c r="C20" s="6">
        <f>IF(B20="","",VLOOKUP(A20,Allocation!$A$2:$I$47,4,))</f>
        <v>67</v>
      </c>
      <c r="D20" s="6">
        <f>IF(B20="","",VLOOKUP(A20,Allocation!$A$2:$I$47,8,))</f>
        <v>3</v>
      </c>
      <c r="G20" s="127" t="s">
        <v>39</v>
      </c>
      <c r="H20" s="36">
        <f t="shared" ref="H20:H22" si="9">IF(G20="","",VLOOKUP(G20,$B$4:$C$29,2,))</f>
        <v>58</v>
      </c>
      <c r="K20" s="46"/>
      <c r="L20" s="58">
        <f>H20</f>
        <v>58</v>
      </c>
      <c r="M20" s="73" t="str">
        <f>G20</f>
        <v>Jocelyn K</v>
      </c>
      <c r="N20" s="146" t="s">
        <v>12</v>
      </c>
      <c r="O20" s="147"/>
      <c r="P20" s="148"/>
      <c r="Q20" s="74">
        <f>SUM(O6:O15,L6:L15)/20</f>
        <v>75</v>
      </c>
      <c r="R20" s="49"/>
      <c r="S20" s="107" t="s">
        <v>84</v>
      </c>
      <c r="T20" s="49"/>
      <c r="U20" s="49"/>
      <c r="V20" s="48"/>
      <c r="W20" s="107" t="s">
        <v>85</v>
      </c>
      <c r="X20" s="44"/>
    </row>
    <row r="21" spans="1:24" ht="15" customHeight="1">
      <c r="A21" s="6">
        <v>18</v>
      </c>
      <c r="B21" s="7" t="str">
        <f>IF(Allocation!H20="","",VLOOKUP(A21,Allocation!$A$2:$I$47,3))</f>
        <v/>
      </c>
      <c r="C21" s="6" t="str">
        <f>IF(B21="","",VLOOKUP(A21,Allocation!$A$2:$I$47,4,))</f>
        <v/>
      </c>
      <c r="D21" s="6" t="str">
        <f>IF(B21="","",VLOOKUP(A21,Allocation!$A$2:$I$47,8,))</f>
        <v/>
      </c>
      <c r="G21" s="127" t="s">
        <v>20</v>
      </c>
      <c r="H21" s="36">
        <f t="shared" si="9"/>
        <v>62</v>
      </c>
      <c r="K21" s="46"/>
      <c r="L21" s="58">
        <f>H21</f>
        <v>62</v>
      </c>
      <c r="M21" s="73" t="str">
        <f>G21</f>
        <v>S-J</v>
      </c>
      <c r="N21" s="146" t="s">
        <v>13</v>
      </c>
      <c r="O21" s="147"/>
      <c r="P21" s="148"/>
      <c r="Q21" s="74">
        <f>SUM(Q19,T16,T5,650)</f>
        <v>2307</v>
      </c>
      <c r="R21" s="49"/>
      <c r="S21" s="49"/>
      <c r="T21" s="49"/>
      <c r="U21" s="49"/>
      <c r="V21" s="48"/>
      <c r="W21" s="48"/>
      <c r="X21" s="44"/>
    </row>
    <row r="22" spans="1:24" ht="15" customHeight="1">
      <c r="A22" s="6">
        <v>19</v>
      </c>
      <c r="B22" s="7" t="str">
        <f>IF(Allocation!H21="","",VLOOKUP(A22,Allocation!$A$2:$I$47,3))</f>
        <v>Rachael H</v>
      </c>
      <c r="C22" s="6">
        <f>IF(B22="","",VLOOKUP(A22,Allocation!$A$2:$I$47,4,))</f>
        <v>85</v>
      </c>
      <c r="D22" s="6">
        <f>IF(B22="","",VLOOKUP(A22,Allocation!$A$2:$I$47,8,))</f>
        <v>3</v>
      </c>
      <c r="G22" s="127" t="s">
        <v>34</v>
      </c>
      <c r="H22" s="36">
        <f t="shared" si="9"/>
        <v>64</v>
      </c>
      <c r="K22" s="46"/>
      <c r="L22" s="58">
        <f>H22</f>
        <v>64</v>
      </c>
      <c r="M22" s="73" t="str">
        <f>G22</f>
        <v>Deb H</v>
      </c>
      <c r="N22" s="146" t="s">
        <v>14</v>
      </c>
      <c r="O22" s="147"/>
      <c r="P22" s="148"/>
      <c r="Q22" s="75">
        <f>SUM(Q19,T16,T5,650)/20</f>
        <v>115.35</v>
      </c>
      <c r="R22" s="49"/>
      <c r="S22" s="49"/>
      <c r="T22" s="49"/>
      <c r="U22" s="49"/>
      <c r="V22" s="48"/>
      <c r="W22" s="48"/>
      <c r="X22" s="44"/>
    </row>
    <row r="23" spans="1:24" ht="15" customHeight="1">
      <c r="A23" s="6">
        <v>20</v>
      </c>
      <c r="B23" s="7" t="str">
        <f>IF(Allocation!H22="","",VLOOKUP(A23,Allocation!$A$2:$I$47,3))</f>
        <v>Liz Mc</v>
      </c>
      <c r="C23" s="6">
        <f>IF(B23="","",VLOOKUP(A23,Allocation!$A$2:$I$47,4,))</f>
        <v>64</v>
      </c>
      <c r="D23" s="6">
        <f>IF(B23="","",VLOOKUP(A23,Allocation!$A$2:$I$47,8,))</f>
        <v>3</v>
      </c>
    </row>
    <row r="24" spans="1:24" ht="15" customHeight="1">
      <c r="A24" s="6">
        <v>21</v>
      </c>
      <c r="B24" s="7" t="str">
        <f>IF(Allocation!H23="","",VLOOKUP(A24,Allocation!$A$2:$I$47,3))</f>
        <v/>
      </c>
      <c r="C24" s="6" t="str">
        <f>IF(B24="","",VLOOKUP(A24,Allocation!$A$2:$I$47,4,))</f>
        <v/>
      </c>
      <c r="D24" s="6" t="str">
        <f>IF(B24="","",VLOOKUP(A24,Allocation!$A$2:$I$47,8,))</f>
        <v/>
      </c>
    </row>
    <row r="25" spans="1:24" ht="15" customHeight="1" thickBot="1">
      <c r="A25" s="6">
        <v>22</v>
      </c>
      <c r="B25" s="7" t="str">
        <f>IF(Allocation!H24="","",VLOOKUP(A25,Allocation!$A$2:$I$47,3))</f>
        <v>Alice S</v>
      </c>
      <c r="C25" s="6">
        <f>IF(B25="","",VLOOKUP(A25,Allocation!$A$2:$I$47,4,))</f>
        <v>47</v>
      </c>
      <c r="D25" s="6">
        <f>IF(B25="","",VLOOKUP(A25,Allocation!$A$2:$I$47,8,))</f>
        <v>3</v>
      </c>
      <c r="F25" s="43" t="s">
        <v>15</v>
      </c>
    </row>
    <row r="26" spans="1:24" ht="15" customHeight="1">
      <c r="A26" s="6">
        <v>23</v>
      </c>
      <c r="B26" s="7" t="str">
        <f>IF(Allocation!H25="","",VLOOKUP(A26,Allocation!$A$2:$I$47,3))</f>
        <v/>
      </c>
      <c r="C26" s="6" t="str">
        <f>IF(B26="","",VLOOKUP(A26,Allocation!$A$2:$I$47,4,))</f>
        <v/>
      </c>
      <c r="D26" s="6" t="str">
        <f>IF(B26="","",VLOOKUP(A26,Allocation!$A$2:$I$47,8,))</f>
        <v/>
      </c>
      <c r="F26" s="32"/>
      <c r="G26" s="126" t="s">
        <v>32</v>
      </c>
      <c r="H26" s="39">
        <f>IF(G26="","",VLOOKUP(G26,$B$4:$C$48,2,))</f>
        <v>63</v>
      </c>
      <c r="I26" s="33"/>
      <c r="K26" s="59"/>
      <c r="L26" s="60" t="s">
        <v>3</v>
      </c>
      <c r="M26" s="61" t="s">
        <v>4</v>
      </c>
      <c r="N26" s="61" t="s">
        <v>5</v>
      </c>
      <c r="O26" s="60" t="s">
        <v>3</v>
      </c>
      <c r="P26" s="62"/>
      <c r="Q26" s="62"/>
      <c r="R26" s="62"/>
      <c r="S26" s="62"/>
      <c r="T26" s="63">
        <f>H26+14</f>
        <v>77</v>
      </c>
      <c r="U26" s="63">
        <v>6</v>
      </c>
      <c r="V26" s="64">
        <f t="shared" ref="V26:V37" si="10">(U26)/6</f>
        <v>1</v>
      </c>
      <c r="W26" s="65">
        <f t="shared" ref="W26:W37" si="11">V26*T26</f>
        <v>77</v>
      </c>
    </row>
    <row r="27" spans="1:24" ht="15" customHeight="1">
      <c r="A27" s="6">
        <v>24</v>
      </c>
      <c r="B27" s="7" t="str">
        <f>IF(Allocation!H26="","",VLOOKUP(A27,Allocation!$A$2:$I$47,3))</f>
        <v>Michael H</v>
      </c>
      <c r="C27" s="6">
        <f>IF(B27="","",VLOOKUP(A27,Allocation!$A$2:$I$47,4,))</f>
        <v>82</v>
      </c>
      <c r="D27" s="6">
        <f>IF(B27="","",VLOOKUP(A27,Allocation!$A$2:$I$47,8,))</f>
        <v>3</v>
      </c>
      <c r="F27" s="37">
        <f>IF(G27="","",VLOOKUP(G27,$B$4:$C$48,2,))</f>
        <v>75</v>
      </c>
      <c r="G27" s="127" t="s">
        <v>115</v>
      </c>
      <c r="H27" s="127" t="s">
        <v>103</v>
      </c>
      <c r="I27" s="38">
        <f>IF(H27="","",VLOOKUP(H27,$B$4:$C$48,2,))</f>
        <v>84</v>
      </c>
      <c r="K27" s="66">
        <v>1</v>
      </c>
      <c r="L27" s="56">
        <f t="shared" ref="L27:O36" si="12">F27</f>
        <v>75</v>
      </c>
      <c r="M27" s="57" t="str">
        <f t="shared" si="12"/>
        <v>Andrew B</v>
      </c>
      <c r="N27" s="57" t="str">
        <f t="shared" si="12"/>
        <v>Diego E</v>
      </c>
      <c r="O27" s="56">
        <f t="shared" si="12"/>
        <v>84</v>
      </c>
      <c r="P27" s="58">
        <f t="shared" ref="P27:P37" si="13">O27-L27</f>
        <v>9</v>
      </c>
      <c r="Q27" s="54">
        <v>300</v>
      </c>
      <c r="R27" s="55">
        <f t="shared" ref="R27:R37" si="14">Q27/350</f>
        <v>0.8571428571428571</v>
      </c>
      <c r="S27" s="55">
        <f t="shared" ref="S27:S37" si="15">P27*R27</f>
        <v>7.7142857142857135</v>
      </c>
      <c r="T27" s="54">
        <f t="shared" ref="T27:T36" si="16">L27+O27</f>
        <v>159</v>
      </c>
      <c r="U27" s="54">
        <v>4.5</v>
      </c>
      <c r="V27" s="55">
        <f t="shared" si="10"/>
        <v>0.75</v>
      </c>
      <c r="W27" s="67">
        <f t="shared" si="11"/>
        <v>119.25</v>
      </c>
      <c r="X27" s="44"/>
    </row>
    <row r="28" spans="1:24" ht="15" customHeight="1">
      <c r="A28" s="6">
        <v>25</v>
      </c>
      <c r="B28" s="7" t="str">
        <f>IF(Allocation!H27="","",VLOOKUP(A28,Allocation!$A$2:$I$47,3))</f>
        <v>Andrew B</v>
      </c>
      <c r="C28" s="6">
        <f>IF(B28="","",VLOOKUP(A28,Allocation!$A$2:$I$47,4,))</f>
        <v>75</v>
      </c>
      <c r="D28" s="6">
        <f>IF(B28="","",VLOOKUP(A28,Allocation!$A$2:$I$47,8,))</f>
        <v>3</v>
      </c>
      <c r="F28" s="37">
        <f t="shared" ref="F28:F36" si="17">IF(G28="","",VLOOKUP(G28,$B$4:$C$48,2,))</f>
        <v>65</v>
      </c>
      <c r="G28" s="127" t="s">
        <v>99</v>
      </c>
      <c r="H28" s="127" t="s">
        <v>48</v>
      </c>
      <c r="I28" s="38">
        <f t="shared" ref="I28:I36" si="18">IF(H28="","",VLOOKUP(H28,$B$4:$C$48,2,))</f>
        <v>91</v>
      </c>
      <c r="K28" s="66">
        <v>2</v>
      </c>
      <c r="L28" s="56">
        <f t="shared" si="12"/>
        <v>65</v>
      </c>
      <c r="M28" s="57" t="str">
        <f t="shared" si="12"/>
        <v>Andrea M</v>
      </c>
      <c r="N28" s="57" t="str">
        <f t="shared" si="12"/>
        <v>Paul J</v>
      </c>
      <c r="O28" s="56">
        <f t="shared" si="12"/>
        <v>91</v>
      </c>
      <c r="P28" s="58">
        <f t="shared" si="13"/>
        <v>26</v>
      </c>
      <c r="Q28" s="54">
        <v>330</v>
      </c>
      <c r="R28" s="55">
        <f t="shared" si="14"/>
        <v>0.94285714285714284</v>
      </c>
      <c r="S28" s="55">
        <f t="shared" si="15"/>
        <v>24.514285714285712</v>
      </c>
      <c r="T28" s="54">
        <f t="shared" si="16"/>
        <v>156</v>
      </c>
      <c r="U28" s="54">
        <v>3.5</v>
      </c>
      <c r="V28" s="55">
        <f t="shared" si="10"/>
        <v>0.58333333333333337</v>
      </c>
      <c r="W28" s="67">
        <f t="shared" si="11"/>
        <v>91</v>
      </c>
      <c r="X28" s="44"/>
    </row>
    <row r="29" spans="1:24" ht="15" customHeight="1">
      <c r="A29" s="6">
        <v>26</v>
      </c>
      <c r="B29" s="7" t="str">
        <f>IF(Allocation!H28="","",VLOOKUP(A29,Allocation!$A$2:$I$47,3))</f>
        <v>Diego E</v>
      </c>
      <c r="C29" s="6">
        <f>IF(B29="","",VLOOKUP(A29,Allocation!$A$2:$I$47,4,))</f>
        <v>84</v>
      </c>
      <c r="D29" s="6">
        <f>IF(B29="","",VLOOKUP(A29,Allocation!$A$2:$I$47,8,))</f>
        <v>3</v>
      </c>
      <c r="F29" s="37">
        <f t="shared" si="17"/>
        <v>75</v>
      </c>
      <c r="G29" s="127" t="s">
        <v>37</v>
      </c>
      <c r="H29" s="127" t="s">
        <v>111</v>
      </c>
      <c r="I29" s="38">
        <f t="shared" si="18"/>
        <v>77</v>
      </c>
      <c r="K29" s="66">
        <v>3</v>
      </c>
      <c r="L29" s="56">
        <f t="shared" si="12"/>
        <v>75</v>
      </c>
      <c r="M29" s="57" t="str">
        <f t="shared" si="12"/>
        <v>Amanda F</v>
      </c>
      <c r="N29" s="57" t="str">
        <f t="shared" si="12"/>
        <v>Andrew H</v>
      </c>
      <c r="O29" s="56">
        <f t="shared" si="12"/>
        <v>77</v>
      </c>
      <c r="P29" s="58">
        <f t="shared" si="13"/>
        <v>2</v>
      </c>
      <c r="Q29" s="54">
        <v>350</v>
      </c>
      <c r="R29" s="55">
        <f t="shared" si="14"/>
        <v>1</v>
      </c>
      <c r="S29" s="55">
        <f t="shared" si="15"/>
        <v>2</v>
      </c>
      <c r="T29" s="54">
        <f t="shared" si="16"/>
        <v>152</v>
      </c>
      <c r="U29" s="54">
        <v>2.5</v>
      </c>
      <c r="V29" s="55">
        <f t="shared" si="10"/>
        <v>0.41666666666666669</v>
      </c>
      <c r="W29" s="67">
        <f t="shared" si="11"/>
        <v>63.333333333333336</v>
      </c>
      <c r="X29" s="44"/>
    </row>
    <row r="30" spans="1:24" ht="15" customHeight="1">
      <c r="A30" s="6">
        <v>27</v>
      </c>
      <c r="B30" s="7" t="str">
        <f>IF(Allocation!H29="","",VLOOKUP(A30,Allocation!$A$2:$I$47,3))</f>
        <v>Simon F</v>
      </c>
      <c r="C30" s="6">
        <f>IF(B30="","",VLOOKUP(A30,Allocation!$A$2:$I$47,4,))</f>
        <v>64</v>
      </c>
      <c r="D30" s="6">
        <f>IF(B30="","",VLOOKUP(A30,Allocation!$A$2:$I$47,8,))</f>
        <v>3</v>
      </c>
      <c r="F30" s="37">
        <f t="shared" si="17"/>
        <v>90</v>
      </c>
      <c r="G30" s="127" t="s">
        <v>50</v>
      </c>
      <c r="H30" s="127" t="s">
        <v>47</v>
      </c>
      <c r="I30" s="38">
        <f t="shared" si="18"/>
        <v>95</v>
      </c>
      <c r="K30" s="66">
        <v>4</v>
      </c>
      <c r="L30" s="56">
        <f t="shared" si="12"/>
        <v>90</v>
      </c>
      <c r="M30" s="57" t="str">
        <f t="shared" si="12"/>
        <v>Detlef H</v>
      </c>
      <c r="N30" s="57" t="str">
        <f t="shared" si="12"/>
        <v>Kiran R</v>
      </c>
      <c r="O30" s="56">
        <f t="shared" si="12"/>
        <v>95</v>
      </c>
      <c r="P30" s="58">
        <f t="shared" si="13"/>
        <v>5</v>
      </c>
      <c r="Q30" s="54">
        <v>350</v>
      </c>
      <c r="R30" s="55">
        <f t="shared" si="14"/>
        <v>1</v>
      </c>
      <c r="S30" s="55">
        <f t="shared" si="15"/>
        <v>5</v>
      </c>
      <c r="T30" s="54">
        <f t="shared" si="16"/>
        <v>185</v>
      </c>
      <c r="U30" s="54">
        <v>1.5</v>
      </c>
      <c r="V30" s="55">
        <f t="shared" si="10"/>
        <v>0.25</v>
      </c>
      <c r="W30" s="67">
        <f t="shared" si="11"/>
        <v>46.25</v>
      </c>
      <c r="X30" s="44"/>
    </row>
    <row r="31" spans="1:24" ht="15" customHeight="1">
      <c r="A31" s="6">
        <v>28</v>
      </c>
      <c r="B31" s="7" t="str">
        <f>IF(Allocation!H30="","",VLOOKUP(A31,Allocation!$A$2:$I$47,3))</f>
        <v>Andrew H</v>
      </c>
      <c r="C31" s="6">
        <f>IF(B31="","",VLOOKUP(A31,Allocation!$A$2:$I$47,4,))</f>
        <v>77</v>
      </c>
      <c r="D31" s="6">
        <f>IF(B31="","",VLOOKUP(A31,Allocation!$A$2:$I$47,8,))</f>
        <v>3</v>
      </c>
      <c r="F31" s="37">
        <f t="shared" si="17"/>
        <v>67</v>
      </c>
      <c r="G31" s="127" t="s">
        <v>132</v>
      </c>
      <c r="H31" s="127" t="s">
        <v>105</v>
      </c>
      <c r="I31" s="38">
        <f t="shared" si="18"/>
        <v>70</v>
      </c>
      <c r="K31" s="66">
        <v>5</v>
      </c>
      <c r="L31" s="56">
        <f t="shared" si="12"/>
        <v>67</v>
      </c>
      <c r="M31" s="57" t="str">
        <f t="shared" si="12"/>
        <v>Anne-Marie</v>
      </c>
      <c r="N31" s="57" t="str">
        <f t="shared" si="12"/>
        <v>Mary-Alice</v>
      </c>
      <c r="O31" s="56">
        <f t="shared" si="12"/>
        <v>70</v>
      </c>
      <c r="P31" s="58">
        <f t="shared" si="13"/>
        <v>3</v>
      </c>
      <c r="Q31" s="54">
        <v>350</v>
      </c>
      <c r="R31" s="55">
        <f t="shared" si="14"/>
        <v>1</v>
      </c>
      <c r="S31" s="55">
        <f t="shared" si="15"/>
        <v>3</v>
      </c>
      <c r="T31" s="54">
        <f t="shared" si="16"/>
        <v>137</v>
      </c>
      <c r="U31" s="54">
        <v>0.5</v>
      </c>
      <c r="V31" s="55">
        <f t="shared" si="10"/>
        <v>8.3333333333333329E-2</v>
      </c>
      <c r="W31" s="67">
        <f t="shared" si="11"/>
        <v>11.416666666666666</v>
      </c>
      <c r="X31" s="44"/>
    </row>
    <row r="32" spans="1:24" ht="15" customHeight="1">
      <c r="A32" s="6">
        <v>29</v>
      </c>
      <c r="B32" s="7" t="str">
        <f>IF(Allocation!H31="","",VLOOKUP(A32,Allocation!$A$2:$I$47,3))</f>
        <v>Detlef H</v>
      </c>
      <c r="C32" s="6">
        <f>IF(B32="","",VLOOKUP(A32,Allocation!$A$2:$I$47,4,))</f>
        <v>90</v>
      </c>
      <c r="D32" s="6">
        <f>IF(B32="","",VLOOKUP(A32,Allocation!$A$2:$I$47,8,))</f>
        <v>3</v>
      </c>
      <c r="F32" s="37">
        <f t="shared" si="17"/>
        <v>85</v>
      </c>
      <c r="G32" s="127" t="s">
        <v>52</v>
      </c>
      <c r="H32" s="127" t="s">
        <v>148</v>
      </c>
      <c r="I32" s="38">
        <f t="shared" si="18"/>
        <v>68</v>
      </c>
      <c r="K32" s="66">
        <v>6</v>
      </c>
      <c r="L32" s="56">
        <f t="shared" si="12"/>
        <v>85</v>
      </c>
      <c r="M32" s="57" t="str">
        <f t="shared" si="12"/>
        <v>Rachael H</v>
      </c>
      <c r="N32" s="57" t="str">
        <f t="shared" si="12"/>
        <v>Jaid</v>
      </c>
      <c r="O32" s="56">
        <f t="shared" si="12"/>
        <v>68</v>
      </c>
      <c r="P32" s="58">
        <f t="shared" si="13"/>
        <v>-17</v>
      </c>
      <c r="Q32" s="54">
        <v>350</v>
      </c>
      <c r="R32" s="55">
        <f t="shared" si="14"/>
        <v>1</v>
      </c>
      <c r="S32" s="55">
        <f t="shared" si="15"/>
        <v>-17</v>
      </c>
      <c r="T32" s="54">
        <f t="shared" si="16"/>
        <v>153</v>
      </c>
      <c r="U32" s="54">
        <v>-0.5</v>
      </c>
      <c r="V32" s="55">
        <f t="shared" si="10"/>
        <v>-8.3333333333333329E-2</v>
      </c>
      <c r="W32" s="67">
        <f t="shared" si="11"/>
        <v>-12.75</v>
      </c>
      <c r="X32" s="44"/>
    </row>
    <row r="33" spans="1:24" ht="15" customHeight="1">
      <c r="A33" s="6">
        <v>30</v>
      </c>
      <c r="B33" s="7" t="str">
        <f>IF(Allocation!H32="","",VLOOKUP(A33,Allocation!$A$2:$I$47,3))</f>
        <v>Paul J</v>
      </c>
      <c r="C33" s="6">
        <f>IF(B33="","",VLOOKUP(A33,Allocation!$A$2:$I$47,4,))</f>
        <v>91</v>
      </c>
      <c r="D33" s="6">
        <f>IF(B33="","",VLOOKUP(A33,Allocation!$A$2:$I$47,8,))</f>
        <v>3</v>
      </c>
      <c r="F33" s="37">
        <f t="shared" si="17"/>
        <v>64</v>
      </c>
      <c r="G33" s="127" t="s">
        <v>134</v>
      </c>
      <c r="H33" s="127" t="s">
        <v>138</v>
      </c>
      <c r="I33" s="38">
        <f t="shared" si="18"/>
        <v>47</v>
      </c>
      <c r="K33" s="66">
        <v>7</v>
      </c>
      <c r="L33" s="56">
        <f t="shared" si="12"/>
        <v>64</v>
      </c>
      <c r="M33" s="57" t="str">
        <f t="shared" si="12"/>
        <v>Liz Mc</v>
      </c>
      <c r="N33" s="57" t="str">
        <f t="shared" si="12"/>
        <v>Alice S</v>
      </c>
      <c r="O33" s="56">
        <f t="shared" si="12"/>
        <v>47</v>
      </c>
      <c r="P33" s="58">
        <f t="shared" si="13"/>
        <v>-17</v>
      </c>
      <c r="Q33" s="54">
        <v>350</v>
      </c>
      <c r="R33" s="55">
        <f t="shared" si="14"/>
        <v>1</v>
      </c>
      <c r="S33" s="55">
        <f t="shared" si="15"/>
        <v>-17</v>
      </c>
      <c r="T33" s="54">
        <f t="shared" si="16"/>
        <v>111</v>
      </c>
      <c r="U33" s="54">
        <v>-1.5</v>
      </c>
      <c r="V33" s="55">
        <f t="shared" si="10"/>
        <v>-0.25</v>
      </c>
      <c r="W33" s="67">
        <f t="shared" si="11"/>
        <v>-27.75</v>
      </c>
      <c r="X33" s="44"/>
    </row>
    <row r="34" spans="1:24" ht="15" customHeight="1">
      <c r="A34" s="6">
        <v>31</v>
      </c>
      <c r="B34" s="7" t="str">
        <f>IF(Allocation!H33="","",VLOOKUP(A34,Allocation!$A$2:$I$47,3))</f>
        <v>Jaid</v>
      </c>
      <c r="C34" s="6">
        <f>IF(B34="","",VLOOKUP(A34,Allocation!$A$2:$I$47,4,))</f>
        <v>68</v>
      </c>
      <c r="D34" s="6">
        <f>IF(B34="","",VLOOKUP(A34,Allocation!$A$2:$I$47,8,))</f>
        <v>3</v>
      </c>
      <c r="F34" s="37">
        <f t="shared" si="17"/>
        <v>71</v>
      </c>
      <c r="G34" s="127" t="s">
        <v>146</v>
      </c>
      <c r="H34" s="127" t="s">
        <v>124</v>
      </c>
      <c r="I34" s="38">
        <f t="shared" si="18"/>
        <v>75</v>
      </c>
      <c r="K34" s="66">
        <v>8</v>
      </c>
      <c r="L34" s="56">
        <f t="shared" si="12"/>
        <v>71</v>
      </c>
      <c r="M34" s="57" t="str">
        <f t="shared" si="12"/>
        <v>Marc</v>
      </c>
      <c r="N34" s="57" t="str">
        <f t="shared" si="12"/>
        <v>Bibiana A</v>
      </c>
      <c r="O34" s="56">
        <f t="shared" si="12"/>
        <v>75</v>
      </c>
      <c r="P34" s="58">
        <f t="shared" si="13"/>
        <v>4</v>
      </c>
      <c r="Q34" s="54">
        <v>350</v>
      </c>
      <c r="R34" s="55">
        <f t="shared" si="14"/>
        <v>1</v>
      </c>
      <c r="S34" s="55">
        <f t="shared" si="15"/>
        <v>4</v>
      </c>
      <c r="T34" s="54">
        <f t="shared" si="16"/>
        <v>146</v>
      </c>
      <c r="U34" s="54">
        <v>-2.5</v>
      </c>
      <c r="V34" s="55">
        <f t="shared" si="10"/>
        <v>-0.41666666666666669</v>
      </c>
      <c r="W34" s="67">
        <f t="shared" si="11"/>
        <v>-60.833333333333336</v>
      </c>
      <c r="X34" s="44"/>
    </row>
    <row r="35" spans="1:24" ht="15" customHeight="1">
      <c r="A35" s="6">
        <v>32</v>
      </c>
      <c r="B35" s="7" t="str">
        <f>IF(Allocation!H34="","",VLOOKUP(A35,Allocation!$A$2:$I$47,3))</f>
        <v>Kiran R</v>
      </c>
      <c r="C35" s="6">
        <f>IF(B35="","",VLOOKUP(A35,Allocation!$A$2:$I$47,4,))</f>
        <v>95</v>
      </c>
      <c r="D35" s="6">
        <f>IF(B35="","",VLOOKUP(A35,Allocation!$A$2:$I$47,8,))</f>
        <v>3</v>
      </c>
      <c r="F35" s="37">
        <f t="shared" si="17"/>
        <v>90</v>
      </c>
      <c r="G35" s="127" t="s">
        <v>144</v>
      </c>
      <c r="H35" s="127" t="s">
        <v>140</v>
      </c>
      <c r="I35" s="38">
        <f t="shared" si="18"/>
        <v>82</v>
      </c>
      <c r="K35" s="66">
        <v>9</v>
      </c>
      <c r="L35" s="56">
        <f t="shared" si="12"/>
        <v>90</v>
      </c>
      <c r="M35" s="57" t="str">
        <f t="shared" si="12"/>
        <v>Richard V</v>
      </c>
      <c r="N35" s="57" t="str">
        <f t="shared" si="12"/>
        <v>Michael H</v>
      </c>
      <c r="O35" s="56">
        <f t="shared" si="12"/>
        <v>82</v>
      </c>
      <c r="P35" s="58">
        <f t="shared" si="13"/>
        <v>-8</v>
      </c>
      <c r="Q35" s="54">
        <v>330</v>
      </c>
      <c r="R35" s="55">
        <f t="shared" si="14"/>
        <v>0.94285714285714284</v>
      </c>
      <c r="S35" s="55">
        <f t="shared" si="15"/>
        <v>-7.5428571428571427</v>
      </c>
      <c r="T35" s="54">
        <f t="shared" si="16"/>
        <v>172</v>
      </c>
      <c r="U35" s="54">
        <v>-3.5</v>
      </c>
      <c r="V35" s="55">
        <f t="shared" si="10"/>
        <v>-0.58333333333333337</v>
      </c>
      <c r="W35" s="67">
        <f t="shared" si="11"/>
        <v>-100.33333333333334</v>
      </c>
      <c r="X35" s="44"/>
    </row>
    <row r="36" spans="1:24" ht="15" customHeight="1">
      <c r="A36" s="6">
        <v>33</v>
      </c>
      <c r="B36" s="7" t="str">
        <f>IF(Allocation!H35="","",VLOOKUP(A36,Allocation!$A$2:$I$47,3))</f>
        <v>Marc</v>
      </c>
      <c r="C36" s="6">
        <f>IF(B36="","",VLOOKUP(A36,Allocation!$A$2:$I$47,4,))</f>
        <v>71</v>
      </c>
      <c r="D36" s="6">
        <f>IF(B36="","",VLOOKUP(A36,Allocation!$A$2:$I$47,8,))</f>
        <v>3</v>
      </c>
      <c r="F36" s="37">
        <f t="shared" si="17"/>
        <v>64</v>
      </c>
      <c r="G36" s="127" t="s">
        <v>33</v>
      </c>
      <c r="H36" s="127" t="s">
        <v>122</v>
      </c>
      <c r="I36" s="38">
        <f t="shared" si="18"/>
        <v>65</v>
      </c>
      <c r="K36" s="66">
        <v>10</v>
      </c>
      <c r="L36" s="56">
        <f t="shared" si="12"/>
        <v>64</v>
      </c>
      <c r="M36" s="57" t="str">
        <f t="shared" si="12"/>
        <v>Simon F</v>
      </c>
      <c r="N36" s="57" t="str">
        <f t="shared" si="12"/>
        <v>Amy</v>
      </c>
      <c r="O36" s="56">
        <f t="shared" si="12"/>
        <v>65</v>
      </c>
      <c r="P36" s="58">
        <f t="shared" si="13"/>
        <v>1</v>
      </c>
      <c r="Q36" s="54">
        <v>300</v>
      </c>
      <c r="R36" s="55">
        <f t="shared" si="14"/>
        <v>0.8571428571428571</v>
      </c>
      <c r="S36" s="55">
        <f t="shared" si="15"/>
        <v>0.8571428571428571</v>
      </c>
      <c r="T36" s="54">
        <f t="shared" si="16"/>
        <v>129</v>
      </c>
      <c r="U36" s="54">
        <v>-4.5</v>
      </c>
      <c r="V36" s="55">
        <f t="shared" si="10"/>
        <v>-0.75</v>
      </c>
      <c r="W36" s="67">
        <f t="shared" si="11"/>
        <v>-96.75</v>
      </c>
      <c r="X36" s="44"/>
    </row>
    <row r="37" spans="1:24" ht="15" customHeight="1" thickBot="1">
      <c r="A37" s="6">
        <v>34</v>
      </c>
      <c r="B37" s="7" t="str">
        <f>IF(Allocation!H36="","",VLOOKUP(A37,Allocation!$A$2:$I$47,3))</f>
        <v>Petr V</v>
      </c>
      <c r="C37" s="6">
        <f>IF(B37="","",VLOOKUP(A37,Allocation!$A$2:$I$47,4,))</f>
        <v>73</v>
      </c>
      <c r="D37" s="6" t="str">
        <f>IF(B37="","",VLOOKUP(A37,Allocation!$A$2:$I$47,8,))</f>
        <v>Sweep</v>
      </c>
      <c r="F37" s="34"/>
      <c r="G37" s="128" t="s">
        <v>43</v>
      </c>
      <c r="H37" s="40">
        <f>IF(G37="","",VLOOKUP(G37,$B$4:$C$48,2,))</f>
        <v>73</v>
      </c>
      <c r="I37" s="35"/>
      <c r="K37" s="66"/>
      <c r="L37" s="54">
        <v>3</v>
      </c>
      <c r="M37" s="11"/>
      <c r="N37" s="11"/>
      <c r="O37" s="53"/>
      <c r="P37" s="54">
        <f t="shared" si="13"/>
        <v>-3</v>
      </c>
      <c r="Q37" s="54">
        <v>420</v>
      </c>
      <c r="R37" s="55">
        <f t="shared" si="14"/>
        <v>1.2</v>
      </c>
      <c r="S37" s="55">
        <f t="shared" si="15"/>
        <v>-3.5999999999999996</v>
      </c>
      <c r="T37" s="54">
        <f>H37+7</f>
        <v>80</v>
      </c>
      <c r="U37" s="54">
        <v>-6</v>
      </c>
      <c r="V37" s="55">
        <f t="shared" si="10"/>
        <v>-1</v>
      </c>
      <c r="W37" s="67">
        <f t="shared" si="11"/>
        <v>-80</v>
      </c>
      <c r="X37" s="44"/>
    </row>
    <row r="38" spans="1:24" ht="15" customHeight="1" thickBot="1">
      <c r="A38" s="6">
        <v>35</v>
      </c>
      <c r="B38" s="7" t="str">
        <f>IF(Allocation!H37="","",VLOOKUP(A38,Allocation!$A$2:$I$47,3))</f>
        <v>Richard V</v>
      </c>
      <c r="C38" s="6">
        <f>IF(B38="","",VLOOKUP(A38,Allocation!$A$2:$I$47,4,))</f>
        <v>90</v>
      </c>
      <c r="D38" s="6">
        <f>IF(B38="","",VLOOKUP(A38,Allocation!$A$2:$I$47,8,))</f>
        <v>3</v>
      </c>
      <c r="K38" s="68"/>
      <c r="L38" s="69">
        <f>SUM(L27:L37)</f>
        <v>749</v>
      </c>
      <c r="M38" s="70"/>
      <c r="N38" s="70"/>
      <c r="O38" s="69">
        <f>SUM(O27:O37)</f>
        <v>754</v>
      </c>
      <c r="P38" s="71"/>
      <c r="Q38" s="71"/>
      <c r="R38" s="71"/>
      <c r="S38" s="76">
        <f>SUM(S27:S37)</f>
        <v>1.9428571428571422</v>
      </c>
      <c r="T38" s="71"/>
      <c r="U38" s="71"/>
      <c r="V38" s="72"/>
      <c r="W38" s="77">
        <f>SUM(W26:W37)</f>
        <v>29.833333333333343</v>
      </c>
      <c r="X38" s="44"/>
    </row>
    <row r="39" spans="1:24" ht="15" customHeight="1">
      <c r="A39" s="6">
        <v>36</v>
      </c>
      <c r="B39" s="7" t="str">
        <f>IF(Allocation!H38="","",VLOOKUP(A39,Allocation!$A$2:$I$47,3))</f>
        <v>Andrea M</v>
      </c>
      <c r="C39" s="6">
        <f>IF(B39="","",VLOOKUP(A39,Allocation!$A$2:$I$47,4,))</f>
        <v>65</v>
      </c>
      <c r="D39" s="6">
        <f>IF(B39="","",VLOOKUP(A39,Allocation!$A$2:$I$47,8,))</f>
        <v>3</v>
      </c>
      <c r="F39" s="42" t="s">
        <v>6</v>
      </c>
      <c r="K39" s="46"/>
      <c r="L39" s="47" t="s">
        <v>7</v>
      </c>
      <c r="M39" s="50"/>
      <c r="N39" s="51"/>
      <c r="O39" s="45">
        <v>87</v>
      </c>
      <c r="P39" s="48"/>
      <c r="Q39" s="48"/>
      <c r="R39" s="48"/>
      <c r="S39" s="52" t="s">
        <v>8</v>
      </c>
      <c r="T39" s="48"/>
      <c r="U39" s="48"/>
      <c r="V39" s="48"/>
      <c r="W39" s="52" t="s">
        <v>9</v>
      </c>
      <c r="X39" s="44"/>
    </row>
    <row r="40" spans="1:24" ht="15" customHeight="1">
      <c r="A40" s="6">
        <v>37</v>
      </c>
      <c r="B40" s="7" t="str">
        <f>IF(Allocation!H39="","",VLOOKUP(A40,Allocation!$A$2:$I$47,3))</f>
        <v/>
      </c>
      <c r="C40" s="6" t="str">
        <f>IF(B40="","",VLOOKUP(A40,Allocation!$A$2:$I$47,4,))</f>
        <v/>
      </c>
      <c r="D40" s="6" t="str">
        <f>IF(B40="","",VLOOKUP(A40,Allocation!$A$2:$I$47,8,))</f>
        <v/>
      </c>
      <c r="G40" s="127" t="s">
        <v>40</v>
      </c>
      <c r="H40" s="36">
        <f>IF(G40="","",VLOOKUP(G40,$B$4:$C$29,2,))</f>
        <v>70</v>
      </c>
      <c r="K40" s="46"/>
      <c r="L40" s="58">
        <f>H40</f>
        <v>70</v>
      </c>
      <c r="M40" s="73" t="str">
        <f>G40</f>
        <v>Amanda D</v>
      </c>
      <c r="N40" s="146" t="s">
        <v>10</v>
      </c>
      <c r="O40" s="147"/>
      <c r="P40" s="148"/>
      <c r="Q40" s="74">
        <f>SUM(O27:O36,L27:L36)</f>
        <v>1500</v>
      </c>
      <c r="R40" s="48"/>
      <c r="S40" s="52" t="s">
        <v>11</v>
      </c>
      <c r="T40" s="48"/>
      <c r="U40" s="49"/>
      <c r="V40" s="48"/>
      <c r="W40" s="52" t="s">
        <v>11</v>
      </c>
      <c r="X40" s="44"/>
    </row>
    <row r="41" spans="1:24" ht="15" customHeight="1">
      <c r="A41" s="6">
        <v>38</v>
      </c>
      <c r="B41" s="7" t="str">
        <f>IF(Allocation!H40="","",VLOOKUP(A41,Allocation!$A$2:$I$47,3))</f>
        <v/>
      </c>
      <c r="C41" s="6" t="str">
        <f>IF(B41="","",VLOOKUP(A41,Allocation!$A$2:$I$47,4,))</f>
        <v/>
      </c>
      <c r="D41" s="6" t="str">
        <f>IF(B41="","",VLOOKUP(A41,Allocation!$A$2:$I$47,8,))</f>
        <v/>
      </c>
      <c r="G41" s="127" t="s">
        <v>39</v>
      </c>
      <c r="H41" s="36">
        <f t="shared" ref="H41:H43" si="19">IF(G41="","",VLOOKUP(G41,$B$4:$C$29,2,))</f>
        <v>58</v>
      </c>
      <c r="K41" s="46"/>
      <c r="L41" s="58">
        <f>H41</f>
        <v>58</v>
      </c>
      <c r="M41" s="73" t="str">
        <f>G41</f>
        <v>Jocelyn K</v>
      </c>
      <c r="N41" s="146" t="s">
        <v>12</v>
      </c>
      <c r="O41" s="147"/>
      <c r="P41" s="148"/>
      <c r="Q41" s="74">
        <f>SUM(O27:O36,L27:L36)/20</f>
        <v>75</v>
      </c>
      <c r="R41" s="49"/>
      <c r="S41" s="107" t="s">
        <v>84</v>
      </c>
      <c r="T41" s="49"/>
      <c r="U41" s="49"/>
      <c r="V41" s="48"/>
      <c r="W41" s="107" t="s">
        <v>85</v>
      </c>
      <c r="X41" s="44"/>
    </row>
    <row r="42" spans="1:24" ht="15" customHeight="1">
      <c r="A42" s="6">
        <v>39</v>
      </c>
      <c r="B42" s="7" t="str">
        <f>IF(Allocation!H41="","",VLOOKUP(A42,Allocation!$A$2:$I$47,3))</f>
        <v/>
      </c>
      <c r="C42" s="6" t="str">
        <f>IF(B42="","",VLOOKUP(A42,Allocation!$A$2:$I$47,4,))</f>
        <v/>
      </c>
      <c r="D42" s="6" t="str">
        <f>IF(B42="","",VLOOKUP(A42,Allocation!$A$2:$I$47,8,))</f>
        <v/>
      </c>
      <c r="G42" s="127" t="s">
        <v>20</v>
      </c>
      <c r="H42" s="36">
        <f t="shared" si="19"/>
        <v>62</v>
      </c>
      <c r="K42" s="46"/>
      <c r="L42" s="58">
        <f>H42</f>
        <v>62</v>
      </c>
      <c r="M42" s="73" t="str">
        <f>G42</f>
        <v>S-J</v>
      </c>
      <c r="N42" s="146" t="s">
        <v>13</v>
      </c>
      <c r="O42" s="147"/>
      <c r="P42" s="148"/>
      <c r="Q42" s="74">
        <f>SUM(Q40,T37,T26,650)</f>
        <v>2307</v>
      </c>
      <c r="R42" s="49"/>
      <c r="S42" s="49"/>
      <c r="T42" s="49"/>
      <c r="U42" s="49"/>
      <c r="V42" s="48"/>
      <c r="W42" s="48"/>
      <c r="X42" s="44"/>
    </row>
    <row r="43" spans="1:24" ht="15" customHeight="1">
      <c r="A43" s="6">
        <v>40</v>
      </c>
      <c r="B43" s="7" t="str">
        <f>IF(Allocation!H42="","",VLOOKUP(A43,Allocation!$A$2:$I$47,3))</f>
        <v/>
      </c>
      <c r="C43" s="6" t="str">
        <f>IF(B43="","",VLOOKUP(A43,Allocation!$A$2:$I$47,4,))</f>
        <v/>
      </c>
      <c r="D43" s="6" t="str">
        <f>IF(B43="","",VLOOKUP(A43,Allocation!$A$2:$I$47,8,))</f>
        <v/>
      </c>
      <c r="G43" s="127" t="s">
        <v>34</v>
      </c>
      <c r="H43" s="36">
        <f t="shared" si="19"/>
        <v>64</v>
      </c>
      <c r="K43" s="46"/>
      <c r="L43" s="58">
        <f>H43</f>
        <v>64</v>
      </c>
      <c r="M43" s="73" t="str">
        <f>G43</f>
        <v>Deb H</v>
      </c>
      <c r="N43" s="146" t="s">
        <v>14</v>
      </c>
      <c r="O43" s="147"/>
      <c r="P43" s="148"/>
      <c r="Q43" s="75">
        <f>SUM(Q40,T37,T26,650)/20</f>
        <v>115.35</v>
      </c>
      <c r="R43" s="49"/>
      <c r="S43" s="49"/>
      <c r="T43" s="49"/>
      <c r="U43" s="49"/>
      <c r="V43" s="48"/>
      <c r="W43" s="48"/>
      <c r="X43" s="44"/>
    </row>
    <row r="44" spans="1:24" ht="15" customHeight="1">
      <c r="A44" s="6">
        <v>41</v>
      </c>
      <c r="B44" s="7" t="str">
        <f>IF(Allocation!H43="","",VLOOKUP(A44,Allocation!$A$2:$I$47,3))</f>
        <v/>
      </c>
      <c r="C44" s="6" t="str">
        <f>IF(B44="","",VLOOKUP(A44,Allocation!$A$2:$I$47,4,))</f>
        <v/>
      </c>
      <c r="D44" s="6" t="str">
        <f>IF(B44="","",VLOOKUP(A44,Allocation!$A$2:$I$47,8,))</f>
        <v/>
      </c>
      <c r="X44" s="44"/>
    </row>
    <row r="45" spans="1:24" ht="15" customHeight="1">
      <c r="A45" s="6">
        <v>42</v>
      </c>
      <c r="B45" s="7" t="str">
        <f>IF(Allocation!H44="","",VLOOKUP(A45,Allocation!$A$2:$I$47,3))</f>
        <v/>
      </c>
      <c r="C45" s="6" t="str">
        <f>IF(B45="","",VLOOKUP(A45,Allocation!$A$2:$I$47,4,))</f>
        <v/>
      </c>
      <c r="D45" s="6" t="str">
        <f>IF(B45="","",VLOOKUP(A45,Allocation!$A$2:$I$47,8,))</f>
        <v/>
      </c>
    </row>
    <row r="46" spans="1:24" ht="15" customHeight="1" thickBot="1">
      <c r="A46" s="6">
        <v>43</v>
      </c>
      <c r="B46" s="7" t="str">
        <f>IF(Allocation!H45="","",VLOOKUP(A46,Allocation!$A$2:$I$47,3))</f>
        <v/>
      </c>
      <c r="C46" s="6" t="str">
        <f>IF(B46="","",VLOOKUP(A46,Allocation!$A$2:$I$47,4,))</f>
        <v/>
      </c>
      <c r="D46" s="6" t="str">
        <f>IF(B46="","",VLOOKUP(A46,Allocation!$A$2:$I$47,8,))</f>
        <v/>
      </c>
      <c r="F46" s="43" t="s">
        <v>16</v>
      </c>
    </row>
    <row r="47" spans="1:24" ht="15" customHeight="1">
      <c r="A47" s="6">
        <v>44</v>
      </c>
      <c r="B47" s="7" t="str">
        <f>IF(Allocation!H46="","",VLOOKUP(A47,Allocation!$A$2:$I$47,3))</f>
        <v/>
      </c>
      <c r="C47" s="6" t="str">
        <f>IF(B47="","",VLOOKUP(A47,Allocation!$A$2:$I$47,4,))</f>
        <v/>
      </c>
      <c r="D47" s="6" t="str">
        <f>IF(B47="","",VLOOKUP(A47,Allocation!$A$2:$I$47,8,))</f>
        <v/>
      </c>
      <c r="F47" s="32"/>
      <c r="G47" s="126"/>
      <c r="H47" s="39" t="str">
        <f>IF(G47="","",VLOOKUP(G47,$B$4:$C$48,2,))</f>
        <v/>
      </c>
      <c r="I47" s="33"/>
      <c r="K47" s="59"/>
      <c r="L47" s="60" t="s">
        <v>3</v>
      </c>
      <c r="M47" s="61" t="s">
        <v>4</v>
      </c>
      <c r="N47" s="61" t="s">
        <v>5</v>
      </c>
      <c r="O47" s="60" t="s">
        <v>3</v>
      </c>
      <c r="P47" s="62"/>
      <c r="Q47" s="62"/>
      <c r="R47" s="62"/>
      <c r="S47" s="62"/>
      <c r="T47" s="63" t="e">
        <f>H47+14</f>
        <v>#VALUE!</v>
      </c>
      <c r="U47" s="63">
        <v>6</v>
      </c>
      <c r="V47" s="64">
        <f t="shared" ref="V47:V58" si="20">(U47)/6</f>
        <v>1</v>
      </c>
      <c r="W47" s="65" t="e">
        <f t="shared" ref="W47:W58" si="21">V47*T47</f>
        <v>#VALUE!</v>
      </c>
    </row>
    <row r="48" spans="1:24" ht="15" customHeight="1">
      <c r="A48" s="6">
        <v>45</v>
      </c>
      <c r="B48" s="7" t="str">
        <f>IF(Allocation!H47="","",VLOOKUP(A48,Allocation!$A$2:$I$47,3))</f>
        <v/>
      </c>
      <c r="C48" s="6" t="str">
        <f>IF(B48="","",VLOOKUP(A48,Allocation!$A$2:$I$47,4,))</f>
        <v/>
      </c>
      <c r="D48" s="6" t="str">
        <f>IF(B48="","",VLOOKUP(A48,Allocation!$A$2:$I$47,8,))</f>
        <v/>
      </c>
      <c r="F48" s="37" t="str">
        <f>IF(G48="","",VLOOKUP(G48,$B$4:$C$48,2,))</f>
        <v/>
      </c>
      <c r="G48" s="127"/>
      <c r="H48" s="127"/>
      <c r="I48" s="38" t="str">
        <f>IF(H48="","",VLOOKUP(H48,$B$4:$C$48,2,))</f>
        <v/>
      </c>
      <c r="K48" s="66">
        <v>1</v>
      </c>
      <c r="L48" s="56" t="str">
        <f t="shared" ref="L48:O57" si="22">F48</f>
        <v/>
      </c>
      <c r="M48" s="57">
        <f t="shared" si="22"/>
        <v>0</v>
      </c>
      <c r="N48" s="57">
        <f t="shared" si="22"/>
        <v>0</v>
      </c>
      <c r="O48" s="56" t="str">
        <f t="shared" si="22"/>
        <v/>
      </c>
      <c r="P48" s="58" t="e">
        <f t="shared" ref="P48:P58" si="23">O48-L48</f>
        <v>#VALUE!</v>
      </c>
      <c r="Q48" s="54">
        <v>300</v>
      </c>
      <c r="R48" s="55">
        <f t="shared" ref="R48:R58" si="24">Q48/350</f>
        <v>0.8571428571428571</v>
      </c>
      <c r="S48" s="55" t="e">
        <f t="shared" ref="S48:S58" si="25">P48*R48</f>
        <v>#VALUE!</v>
      </c>
      <c r="T48" s="54" t="e">
        <f t="shared" ref="T48:T57" si="26">L48+O48</f>
        <v>#VALUE!</v>
      </c>
      <c r="U48" s="54">
        <v>4.5</v>
      </c>
      <c r="V48" s="55">
        <f t="shared" si="20"/>
        <v>0.75</v>
      </c>
      <c r="W48" s="67" t="e">
        <f t="shared" si="21"/>
        <v>#VALUE!</v>
      </c>
      <c r="X48" s="44"/>
    </row>
    <row r="49" spans="1:24" ht="15" customHeight="1">
      <c r="A49" s="106"/>
      <c r="B49" s="94"/>
      <c r="C49" s="94"/>
      <c r="D49" s="94"/>
      <c r="F49" s="37" t="str">
        <f t="shared" ref="F49:F57" si="27">IF(G49="","",VLOOKUP(G49,$B$4:$C$48,2,))</f>
        <v/>
      </c>
      <c r="G49" s="127"/>
      <c r="H49" s="127"/>
      <c r="I49" s="38" t="str">
        <f t="shared" ref="I49:I57" si="28">IF(H49="","",VLOOKUP(H49,$B$4:$C$29,2,))</f>
        <v/>
      </c>
      <c r="K49" s="66">
        <v>2</v>
      </c>
      <c r="L49" s="56" t="str">
        <f t="shared" si="22"/>
        <v/>
      </c>
      <c r="M49" s="57">
        <f t="shared" si="22"/>
        <v>0</v>
      </c>
      <c r="N49" s="57">
        <f t="shared" si="22"/>
        <v>0</v>
      </c>
      <c r="O49" s="56" t="str">
        <f t="shared" si="22"/>
        <v/>
      </c>
      <c r="P49" s="58" t="e">
        <f t="shared" si="23"/>
        <v>#VALUE!</v>
      </c>
      <c r="Q49" s="54">
        <v>330</v>
      </c>
      <c r="R49" s="55">
        <f t="shared" si="24"/>
        <v>0.94285714285714284</v>
      </c>
      <c r="S49" s="55" t="e">
        <f t="shared" si="25"/>
        <v>#VALUE!</v>
      </c>
      <c r="T49" s="54" t="e">
        <f t="shared" si="26"/>
        <v>#VALUE!</v>
      </c>
      <c r="U49" s="54">
        <v>3.5</v>
      </c>
      <c r="V49" s="55">
        <f t="shared" si="20"/>
        <v>0.58333333333333337</v>
      </c>
      <c r="W49" s="67" t="e">
        <f t="shared" si="21"/>
        <v>#VALUE!</v>
      </c>
      <c r="X49" s="44"/>
    </row>
    <row r="50" spans="1:24" ht="15" customHeight="1">
      <c r="A50" s="106"/>
      <c r="B50" s="94"/>
      <c r="C50" s="94"/>
      <c r="D50" s="94"/>
      <c r="F50" s="37" t="str">
        <f t="shared" si="27"/>
        <v/>
      </c>
      <c r="G50" s="127"/>
      <c r="H50" s="127"/>
      <c r="I50" s="38" t="str">
        <f t="shared" si="28"/>
        <v/>
      </c>
      <c r="K50" s="66">
        <v>3</v>
      </c>
      <c r="L50" s="56" t="str">
        <f t="shared" si="22"/>
        <v/>
      </c>
      <c r="M50" s="57">
        <f t="shared" si="22"/>
        <v>0</v>
      </c>
      <c r="N50" s="57">
        <f t="shared" si="22"/>
        <v>0</v>
      </c>
      <c r="O50" s="56" t="str">
        <f t="shared" si="22"/>
        <v/>
      </c>
      <c r="P50" s="58" t="e">
        <f t="shared" si="23"/>
        <v>#VALUE!</v>
      </c>
      <c r="Q50" s="54">
        <v>350</v>
      </c>
      <c r="R50" s="55">
        <f t="shared" si="24"/>
        <v>1</v>
      </c>
      <c r="S50" s="55" t="e">
        <f t="shared" si="25"/>
        <v>#VALUE!</v>
      </c>
      <c r="T50" s="54" t="e">
        <f t="shared" si="26"/>
        <v>#VALUE!</v>
      </c>
      <c r="U50" s="54">
        <v>2.5</v>
      </c>
      <c r="V50" s="55">
        <f t="shared" si="20"/>
        <v>0.41666666666666669</v>
      </c>
      <c r="W50" s="67" t="e">
        <f t="shared" si="21"/>
        <v>#VALUE!</v>
      </c>
      <c r="X50" s="44"/>
    </row>
    <row r="51" spans="1:24" ht="15" customHeight="1">
      <c r="A51" s="106"/>
      <c r="B51" s="94"/>
      <c r="C51" s="94"/>
      <c r="D51" s="94"/>
      <c r="F51" s="37" t="str">
        <f t="shared" si="27"/>
        <v/>
      </c>
      <c r="G51" s="127"/>
      <c r="H51" s="127"/>
      <c r="I51" s="38" t="str">
        <f t="shared" si="28"/>
        <v/>
      </c>
      <c r="K51" s="66">
        <v>4</v>
      </c>
      <c r="L51" s="56" t="str">
        <f t="shared" si="22"/>
        <v/>
      </c>
      <c r="M51" s="57">
        <f t="shared" si="22"/>
        <v>0</v>
      </c>
      <c r="N51" s="57">
        <f t="shared" si="22"/>
        <v>0</v>
      </c>
      <c r="O51" s="56" t="str">
        <f t="shared" si="22"/>
        <v/>
      </c>
      <c r="P51" s="58" t="e">
        <f t="shared" si="23"/>
        <v>#VALUE!</v>
      </c>
      <c r="Q51" s="54">
        <v>350</v>
      </c>
      <c r="R51" s="55">
        <f t="shared" si="24"/>
        <v>1</v>
      </c>
      <c r="S51" s="55" t="e">
        <f t="shared" si="25"/>
        <v>#VALUE!</v>
      </c>
      <c r="T51" s="54" t="e">
        <f t="shared" si="26"/>
        <v>#VALUE!</v>
      </c>
      <c r="U51" s="54">
        <v>1.5</v>
      </c>
      <c r="V51" s="55">
        <f t="shared" si="20"/>
        <v>0.25</v>
      </c>
      <c r="W51" s="67" t="e">
        <f t="shared" si="21"/>
        <v>#VALUE!</v>
      </c>
      <c r="X51" s="44"/>
    </row>
    <row r="52" spans="1:24" ht="15" customHeight="1">
      <c r="A52" s="106"/>
      <c r="B52" s="94"/>
      <c r="C52" s="94"/>
      <c r="D52" s="94"/>
      <c r="F52" s="37" t="str">
        <f t="shared" si="27"/>
        <v/>
      </c>
      <c r="G52" s="127"/>
      <c r="H52" s="127"/>
      <c r="I52" s="38" t="str">
        <f t="shared" si="28"/>
        <v/>
      </c>
      <c r="K52" s="66">
        <v>5</v>
      </c>
      <c r="L52" s="56" t="str">
        <f t="shared" si="22"/>
        <v/>
      </c>
      <c r="M52" s="57">
        <f t="shared" si="22"/>
        <v>0</v>
      </c>
      <c r="N52" s="57">
        <f t="shared" si="22"/>
        <v>0</v>
      </c>
      <c r="O52" s="56" t="str">
        <f t="shared" si="22"/>
        <v/>
      </c>
      <c r="P52" s="58" t="e">
        <f t="shared" si="23"/>
        <v>#VALUE!</v>
      </c>
      <c r="Q52" s="54">
        <v>350</v>
      </c>
      <c r="R52" s="55">
        <f t="shared" si="24"/>
        <v>1</v>
      </c>
      <c r="S52" s="55" t="e">
        <f t="shared" si="25"/>
        <v>#VALUE!</v>
      </c>
      <c r="T52" s="54" t="e">
        <f t="shared" si="26"/>
        <v>#VALUE!</v>
      </c>
      <c r="U52" s="54">
        <v>0.5</v>
      </c>
      <c r="V52" s="55">
        <f t="shared" si="20"/>
        <v>8.3333333333333329E-2</v>
      </c>
      <c r="W52" s="67" t="e">
        <f t="shared" si="21"/>
        <v>#VALUE!</v>
      </c>
      <c r="X52" s="44"/>
    </row>
    <row r="53" spans="1:24" ht="15" customHeight="1">
      <c r="A53" s="106"/>
      <c r="B53" s="94"/>
      <c r="C53" s="94"/>
      <c r="D53" s="94"/>
      <c r="F53" s="37" t="str">
        <f t="shared" si="27"/>
        <v/>
      </c>
      <c r="G53" s="127"/>
      <c r="H53" s="127"/>
      <c r="I53" s="38" t="str">
        <f t="shared" si="28"/>
        <v/>
      </c>
      <c r="K53" s="66">
        <v>6</v>
      </c>
      <c r="L53" s="56" t="str">
        <f t="shared" si="22"/>
        <v/>
      </c>
      <c r="M53" s="57">
        <f t="shared" si="22"/>
        <v>0</v>
      </c>
      <c r="N53" s="57">
        <f t="shared" si="22"/>
        <v>0</v>
      </c>
      <c r="O53" s="56" t="str">
        <f t="shared" si="22"/>
        <v/>
      </c>
      <c r="P53" s="58" t="e">
        <f t="shared" si="23"/>
        <v>#VALUE!</v>
      </c>
      <c r="Q53" s="54">
        <v>350</v>
      </c>
      <c r="R53" s="55">
        <f t="shared" si="24"/>
        <v>1</v>
      </c>
      <c r="S53" s="55" t="e">
        <f t="shared" si="25"/>
        <v>#VALUE!</v>
      </c>
      <c r="T53" s="54" t="e">
        <f t="shared" si="26"/>
        <v>#VALUE!</v>
      </c>
      <c r="U53" s="54">
        <v>-0.5</v>
      </c>
      <c r="V53" s="55">
        <f t="shared" si="20"/>
        <v>-8.3333333333333329E-2</v>
      </c>
      <c r="W53" s="67" t="e">
        <f t="shared" si="21"/>
        <v>#VALUE!</v>
      </c>
      <c r="X53" s="44"/>
    </row>
    <row r="54" spans="1:24" ht="15" customHeight="1">
      <c r="A54" s="106"/>
      <c r="B54" s="94"/>
      <c r="C54" s="94"/>
      <c r="D54" s="94"/>
      <c r="F54" s="37" t="str">
        <f t="shared" si="27"/>
        <v/>
      </c>
      <c r="G54" s="127"/>
      <c r="H54" s="127"/>
      <c r="I54" s="38" t="str">
        <f t="shared" si="28"/>
        <v/>
      </c>
      <c r="K54" s="66">
        <v>7</v>
      </c>
      <c r="L54" s="56" t="str">
        <f t="shared" si="22"/>
        <v/>
      </c>
      <c r="M54" s="57">
        <f t="shared" si="22"/>
        <v>0</v>
      </c>
      <c r="N54" s="57">
        <f t="shared" si="22"/>
        <v>0</v>
      </c>
      <c r="O54" s="56" t="str">
        <f t="shared" si="22"/>
        <v/>
      </c>
      <c r="P54" s="58" t="e">
        <f t="shared" si="23"/>
        <v>#VALUE!</v>
      </c>
      <c r="Q54" s="54">
        <v>350</v>
      </c>
      <c r="R54" s="55">
        <f t="shared" si="24"/>
        <v>1</v>
      </c>
      <c r="S54" s="55" t="e">
        <f t="shared" si="25"/>
        <v>#VALUE!</v>
      </c>
      <c r="T54" s="54" t="e">
        <f t="shared" si="26"/>
        <v>#VALUE!</v>
      </c>
      <c r="U54" s="54">
        <v>-1.5</v>
      </c>
      <c r="V54" s="55">
        <f t="shared" si="20"/>
        <v>-0.25</v>
      </c>
      <c r="W54" s="67" t="e">
        <f t="shared" si="21"/>
        <v>#VALUE!</v>
      </c>
      <c r="X54" s="44"/>
    </row>
    <row r="55" spans="1:24" ht="15" customHeight="1">
      <c r="A55" s="106"/>
      <c r="B55" s="94"/>
      <c r="C55" s="94"/>
      <c r="D55" s="94"/>
      <c r="F55" s="37" t="str">
        <f t="shared" si="27"/>
        <v/>
      </c>
      <c r="G55" s="127"/>
      <c r="H55" s="127"/>
      <c r="I55" s="38" t="str">
        <f t="shared" si="28"/>
        <v/>
      </c>
      <c r="K55" s="66">
        <v>8</v>
      </c>
      <c r="L55" s="56" t="str">
        <f t="shared" si="22"/>
        <v/>
      </c>
      <c r="M55" s="57">
        <f t="shared" si="22"/>
        <v>0</v>
      </c>
      <c r="N55" s="57">
        <f t="shared" si="22"/>
        <v>0</v>
      </c>
      <c r="O55" s="56" t="str">
        <f t="shared" si="22"/>
        <v/>
      </c>
      <c r="P55" s="58" t="e">
        <f t="shared" si="23"/>
        <v>#VALUE!</v>
      </c>
      <c r="Q55" s="54">
        <v>350</v>
      </c>
      <c r="R55" s="55">
        <f t="shared" si="24"/>
        <v>1</v>
      </c>
      <c r="S55" s="55" t="e">
        <f t="shared" si="25"/>
        <v>#VALUE!</v>
      </c>
      <c r="T55" s="54" t="e">
        <f t="shared" si="26"/>
        <v>#VALUE!</v>
      </c>
      <c r="U55" s="54">
        <v>-2.5</v>
      </c>
      <c r="V55" s="55">
        <f t="shared" si="20"/>
        <v>-0.41666666666666669</v>
      </c>
      <c r="W55" s="67" t="e">
        <f t="shared" si="21"/>
        <v>#VALUE!</v>
      </c>
      <c r="X55" s="44"/>
    </row>
    <row r="56" spans="1:24" ht="15" customHeight="1">
      <c r="A56" s="106"/>
      <c r="B56" s="94"/>
      <c r="C56" s="94"/>
      <c r="D56" s="94"/>
      <c r="F56" s="37" t="str">
        <f t="shared" si="27"/>
        <v/>
      </c>
      <c r="G56" s="127"/>
      <c r="H56" s="127"/>
      <c r="I56" s="38" t="str">
        <f t="shared" si="28"/>
        <v/>
      </c>
      <c r="K56" s="66">
        <v>9</v>
      </c>
      <c r="L56" s="56" t="str">
        <f t="shared" si="22"/>
        <v/>
      </c>
      <c r="M56" s="57">
        <f t="shared" si="22"/>
        <v>0</v>
      </c>
      <c r="N56" s="57">
        <f t="shared" si="22"/>
        <v>0</v>
      </c>
      <c r="O56" s="56" t="str">
        <f t="shared" si="22"/>
        <v/>
      </c>
      <c r="P56" s="58" t="e">
        <f t="shared" si="23"/>
        <v>#VALUE!</v>
      </c>
      <c r="Q56" s="54">
        <v>330</v>
      </c>
      <c r="R56" s="55">
        <f t="shared" si="24"/>
        <v>0.94285714285714284</v>
      </c>
      <c r="S56" s="55" t="e">
        <f t="shared" si="25"/>
        <v>#VALUE!</v>
      </c>
      <c r="T56" s="54" t="e">
        <f t="shared" si="26"/>
        <v>#VALUE!</v>
      </c>
      <c r="U56" s="54">
        <v>-3.5</v>
      </c>
      <c r="V56" s="55">
        <f t="shared" si="20"/>
        <v>-0.58333333333333337</v>
      </c>
      <c r="W56" s="67" t="e">
        <f t="shared" si="21"/>
        <v>#VALUE!</v>
      </c>
      <c r="X56" s="44"/>
    </row>
    <row r="57" spans="1:24" ht="15" customHeight="1">
      <c r="F57" s="37" t="str">
        <f t="shared" si="27"/>
        <v/>
      </c>
      <c r="G57" s="127"/>
      <c r="H57" s="127"/>
      <c r="I57" s="38" t="str">
        <f t="shared" si="28"/>
        <v/>
      </c>
      <c r="K57" s="66">
        <v>10</v>
      </c>
      <c r="L57" s="56" t="str">
        <f t="shared" si="22"/>
        <v/>
      </c>
      <c r="M57" s="57">
        <f t="shared" si="22"/>
        <v>0</v>
      </c>
      <c r="N57" s="57">
        <f t="shared" si="22"/>
        <v>0</v>
      </c>
      <c r="O57" s="56" t="str">
        <f t="shared" si="22"/>
        <v/>
      </c>
      <c r="P57" s="58" t="e">
        <f t="shared" si="23"/>
        <v>#VALUE!</v>
      </c>
      <c r="Q57" s="54">
        <v>300</v>
      </c>
      <c r="R57" s="55">
        <f t="shared" si="24"/>
        <v>0.8571428571428571</v>
      </c>
      <c r="S57" s="55" t="e">
        <f t="shared" si="25"/>
        <v>#VALUE!</v>
      </c>
      <c r="T57" s="54" t="e">
        <f t="shared" si="26"/>
        <v>#VALUE!</v>
      </c>
      <c r="U57" s="54">
        <v>-4.5</v>
      </c>
      <c r="V57" s="55">
        <f t="shared" si="20"/>
        <v>-0.75</v>
      </c>
      <c r="W57" s="67" t="e">
        <f t="shared" si="21"/>
        <v>#VALUE!</v>
      </c>
      <c r="X57" s="44"/>
    </row>
    <row r="58" spans="1:24" ht="15" customHeight="1" thickBot="1">
      <c r="F58" s="34"/>
      <c r="G58" s="128"/>
      <c r="H58" s="40" t="str">
        <f>IF(G58="","",VLOOKUP(G58,$B$4:$C$48,2,))</f>
        <v/>
      </c>
      <c r="I58" s="35"/>
      <c r="K58" s="66"/>
      <c r="L58" s="54">
        <v>3</v>
      </c>
      <c r="M58" s="11"/>
      <c r="N58" s="11"/>
      <c r="O58" s="53"/>
      <c r="P58" s="54">
        <f t="shared" si="23"/>
        <v>-3</v>
      </c>
      <c r="Q58" s="54">
        <v>420</v>
      </c>
      <c r="R58" s="55">
        <f t="shared" si="24"/>
        <v>1.2</v>
      </c>
      <c r="S58" s="55">
        <f t="shared" si="25"/>
        <v>-3.5999999999999996</v>
      </c>
      <c r="T58" s="54" t="e">
        <f>H58+7</f>
        <v>#VALUE!</v>
      </c>
      <c r="U58" s="54">
        <v>-6</v>
      </c>
      <c r="V58" s="55">
        <f t="shared" si="20"/>
        <v>-1</v>
      </c>
      <c r="W58" s="67" t="e">
        <f t="shared" si="21"/>
        <v>#VALUE!</v>
      </c>
      <c r="X58" s="44"/>
    </row>
    <row r="59" spans="1:24" ht="15" customHeight="1" thickBot="1">
      <c r="K59" s="68"/>
      <c r="L59" s="69">
        <f>SUM(L48:L58)</f>
        <v>3</v>
      </c>
      <c r="M59" s="70"/>
      <c r="N59" s="70"/>
      <c r="O59" s="69">
        <f>SUM(O48:O58)</f>
        <v>0</v>
      </c>
      <c r="P59" s="71"/>
      <c r="Q59" s="71"/>
      <c r="R59" s="71"/>
      <c r="S59" s="76" t="e">
        <f>SUM(S48:S58)</f>
        <v>#VALUE!</v>
      </c>
      <c r="T59" s="71"/>
      <c r="U59" s="71"/>
      <c r="V59" s="72"/>
      <c r="W59" s="77" t="e">
        <f>SUM(W47:W58)</f>
        <v>#VALUE!</v>
      </c>
      <c r="X59" s="44"/>
    </row>
    <row r="60" spans="1:24" ht="15" customHeight="1">
      <c r="F60" s="42" t="s">
        <v>6</v>
      </c>
      <c r="K60" s="46"/>
      <c r="L60" s="47" t="s">
        <v>7</v>
      </c>
      <c r="M60" s="50"/>
      <c r="N60" s="51"/>
      <c r="O60" s="45">
        <v>87</v>
      </c>
      <c r="P60" s="48"/>
      <c r="Q60" s="48"/>
      <c r="R60" s="48"/>
      <c r="S60" s="52" t="s">
        <v>8</v>
      </c>
      <c r="T60" s="48"/>
      <c r="U60" s="48"/>
      <c r="V60" s="48"/>
      <c r="W60" s="52" t="s">
        <v>9</v>
      </c>
      <c r="X60" s="44"/>
    </row>
    <row r="61" spans="1:24" ht="15" customHeight="1">
      <c r="G61" s="127"/>
      <c r="H61" s="36" t="str">
        <f>IF(G61="","",VLOOKUP(G61,$B$4:$C$29,2,))</f>
        <v/>
      </c>
      <c r="K61" s="46"/>
      <c r="L61" s="58" t="str">
        <f>H61</f>
        <v/>
      </c>
      <c r="M61" s="73">
        <f>G61</f>
        <v>0</v>
      </c>
      <c r="N61" s="146" t="s">
        <v>10</v>
      </c>
      <c r="O61" s="147"/>
      <c r="P61" s="148"/>
      <c r="Q61" s="74">
        <f>SUM(O48:O57,L48:L57)</f>
        <v>0</v>
      </c>
      <c r="R61" s="48"/>
      <c r="S61" s="52" t="s">
        <v>11</v>
      </c>
      <c r="T61" s="48"/>
      <c r="U61" s="49"/>
      <c r="V61" s="48"/>
      <c r="W61" s="52" t="s">
        <v>11</v>
      </c>
      <c r="X61" s="44"/>
    </row>
    <row r="62" spans="1:24" ht="15" customHeight="1">
      <c r="G62" s="127"/>
      <c r="H62" s="36" t="str">
        <f t="shared" ref="H62:H64" si="29">IF(G62="","",VLOOKUP(G62,$B$4:$C$29,2,))</f>
        <v/>
      </c>
      <c r="K62" s="46"/>
      <c r="L62" s="58" t="str">
        <f>H62</f>
        <v/>
      </c>
      <c r="M62" s="73">
        <f>G62</f>
        <v>0</v>
      </c>
      <c r="N62" s="146" t="s">
        <v>12</v>
      </c>
      <c r="O62" s="147"/>
      <c r="P62" s="148"/>
      <c r="Q62" s="74">
        <f>SUM(O48:O57,L48:L57)/20</f>
        <v>0</v>
      </c>
      <c r="R62" s="49"/>
      <c r="S62" s="107" t="s">
        <v>84</v>
      </c>
      <c r="T62" s="49"/>
      <c r="U62" s="49"/>
      <c r="V62" s="48"/>
      <c r="W62" s="107" t="s">
        <v>85</v>
      </c>
      <c r="X62" s="44"/>
    </row>
    <row r="63" spans="1:24" ht="15" customHeight="1">
      <c r="G63" s="127"/>
      <c r="H63" s="36" t="str">
        <f t="shared" si="29"/>
        <v/>
      </c>
      <c r="K63" s="46"/>
      <c r="L63" s="58" t="str">
        <f>H63</f>
        <v/>
      </c>
      <c r="M63" s="73">
        <f>G63</f>
        <v>0</v>
      </c>
      <c r="N63" s="146" t="s">
        <v>13</v>
      </c>
      <c r="O63" s="147"/>
      <c r="P63" s="148"/>
      <c r="Q63" s="74" t="e">
        <f>SUM(Q61,T58,T47,650)</f>
        <v>#VALUE!</v>
      </c>
      <c r="R63" s="49"/>
      <c r="S63" s="49"/>
      <c r="T63" s="49"/>
      <c r="U63" s="49"/>
      <c r="V63" s="48"/>
      <c r="W63" s="48"/>
      <c r="X63" s="44"/>
    </row>
    <row r="64" spans="1:24" ht="15" customHeight="1">
      <c r="G64" s="127"/>
      <c r="H64" s="36" t="str">
        <f t="shared" si="29"/>
        <v/>
      </c>
      <c r="K64" s="46"/>
      <c r="L64" s="58" t="str">
        <f>H64</f>
        <v/>
      </c>
      <c r="M64" s="73">
        <f>G64</f>
        <v>0</v>
      </c>
      <c r="N64" s="146" t="s">
        <v>14</v>
      </c>
      <c r="O64" s="147"/>
      <c r="P64" s="148"/>
      <c r="Q64" s="75" t="e">
        <f>SUM(Q61,T58,T47,650)/20</f>
        <v>#VALUE!</v>
      </c>
      <c r="R64" s="49"/>
      <c r="S64" s="49"/>
      <c r="T64" s="49"/>
      <c r="U64" s="49"/>
      <c r="V64" s="48"/>
      <c r="W64" s="48"/>
      <c r="X64" s="44"/>
    </row>
    <row r="65" spans="24:24" ht="15" customHeight="1">
      <c r="X65" s="44"/>
    </row>
    <row r="66" spans="24:24" ht="15" customHeight="1"/>
  </sheetData>
  <mergeCells count="14">
    <mergeCell ref="N22:P22"/>
    <mergeCell ref="G2:P2"/>
    <mergeCell ref="G3:P3"/>
    <mergeCell ref="N19:P19"/>
    <mergeCell ref="N20:P20"/>
    <mergeCell ref="N21:P21"/>
    <mergeCell ref="N63:P63"/>
    <mergeCell ref="N64:P64"/>
    <mergeCell ref="N40:P40"/>
    <mergeCell ref="N41:P41"/>
    <mergeCell ref="N42:P42"/>
    <mergeCell ref="N43:P43"/>
    <mergeCell ref="N61:P61"/>
    <mergeCell ref="N62:P62"/>
  </mergeCells>
  <conditionalFormatting sqref="D4:D56">
    <cfRule type="containsText" dxfId="3" priority="1" operator="containsText" text="sweep">
      <formula>NOT(ISERROR(SEARCH("sweep",D4)))</formula>
    </cfRule>
    <cfRule type="containsText" dxfId="2" priority="2" operator="containsText" text="drum">
      <formula>NOT(ISERROR(SEARCH("drum",D4)))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V66"/>
  <sheetViews>
    <sheetView topLeftCell="C13" zoomScale="90" zoomScaleNormal="90" workbookViewId="0">
      <selection activeCell="I33" sqref="I33"/>
    </sheetView>
  </sheetViews>
  <sheetFormatPr defaultColWidth="8.85546875" defaultRowHeight="15"/>
  <cols>
    <col min="1" max="1" width="4.5703125" style="2" customWidth="1"/>
    <col min="2" max="2" width="24.140625" style="2" customWidth="1"/>
    <col min="3" max="3" width="7.5703125" style="2" bestFit="1" customWidth="1"/>
    <col min="4" max="4" width="13.42578125" style="2" bestFit="1" customWidth="1"/>
    <col min="5" max="6" width="8.85546875" style="2" customWidth="1"/>
    <col min="7" max="7" width="10.7109375" style="2" customWidth="1"/>
    <col min="8" max="8" width="11.42578125" style="2" customWidth="1"/>
    <col min="9" max="256" width="8.85546875" style="2" customWidth="1"/>
  </cols>
  <sheetData>
    <row r="1" spans="1:24" ht="15" customHeight="1"/>
    <row r="2" spans="1:24" ht="15" customHeight="1">
      <c r="F2" s="41"/>
      <c r="G2" s="151" t="s">
        <v>83</v>
      </c>
      <c r="H2" s="151"/>
      <c r="I2" s="151"/>
      <c r="J2" s="151"/>
      <c r="K2" s="151"/>
      <c r="L2" s="151"/>
      <c r="M2" s="151"/>
      <c r="N2" s="151"/>
      <c r="O2" s="151"/>
      <c r="P2" s="151"/>
    </row>
    <row r="3" spans="1:24" ht="15" customHeight="1">
      <c r="A3" s="108" t="s">
        <v>79</v>
      </c>
      <c r="B3" s="30" t="s">
        <v>0</v>
      </c>
      <c r="C3" s="31" t="s">
        <v>19</v>
      </c>
      <c r="D3" s="31" t="s">
        <v>22</v>
      </c>
      <c r="F3" s="44"/>
      <c r="G3" s="149"/>
      <c r="H3" s="149"/>
      <c r="I3" s="149"/>
      <c r="J3" s="149"/>
      <c r="K3" s="149"/>
      <c r="L3" s="149"/>
      <c r="M3" s="149"/>
      <c r="N3" s="149"/>
      <c r="O3" s="149"/>
      <c r="P3" s="149"/>
    </row>
    <row r="4" spans="1:24" ht="16.5" customHeight="1" thickBot="1">
      <c r="A4" s="6">
        <v>1</v>
      </c>
      <c r="B4" s="7" t="str">
        <f>IF(Allocation!I3="","",VLOOKUP(A4,Allocation!$A$2:$I$47,3))</f>
        <v>Mary-Alice</v>
      </c>
      <c r="C4" s="6">
        <f>IF(B4="","",VLOOKUP(A4,Allocation!$A$2:$I$47,4,))</f>
        <v>70</v>
      </c>
      <c r="D4" s="6">
        <f>IF(B4="","",VLOOKUP(A4,Allocation!$A$2:$I$47,9,))</f>
        <v>2</v>
      </c>
      <c r="F4" s="43" t="s">
        <v>2</v>
      </c>
    </row>
    <row r="5" spans="1:24" ht="15.75" customHeight="1">
      <c r="A5" s="6">
        <v>2</v>
      </c>
      <c r="B5" s="7" t="str">
        <f>IF(Allocation!I4="","",VLOOKUP(A5,Allocation!$A$2:$I$47,3))</f>
        <v>Amanda D</v>
      </c>
      <c r="C5" s="6">
        <f>IF(B5="","",VLOOKUP(A5,Allocation!$A$2:$I$47,4,))</f>
        <v>70</v>
      </c>
      <c r="D5" s="6">
        <f>IF(B5="","",VLOOKUP(A5,Allocation!$A$2:$I$47,9,))</f>
        <v>3</v>
      </c>
      <c r="F5" s="32"/>
      <c r="G5" s="126" t="s">
        <v>138</v>
      </c>
      <c r="H5" s="39">
        <f>IF(G5="","",VLOOKUP(G5,$B$4:$C$48,2,))</f>
        <v>47</v>
      </c>
      <c r="I5" s="33"/>
      <c r="K5" s="59"/>
      <c r="L5" s="60" t="s">
        <v>3</v>
      </c>
      <c r="M5" s="61" t="s">
        <v>4</v>
      </c>
      <c r="N5" s="61" t="s">
        <v>5</v>
      </c>
      <c r="O5" s="60" t="s">
        <v>3</v>
      </c>
      <c r="P5" s="62"/>
      <c r="Q5" s="62"/>
      <c r="R5" s="62"/>
      <c r="S5" s="62"/>
      <c r="T5" s="63">
        <f>H5+14</f>
        <v>61</v>
      </c>
      <c r="U5" s="63">
        <v>6</v>
      </c>
      <c r="V5" s="64">
        <f t="shared" ref="V5:V16" si="0">(U5)/6</f>
        <v>1</v>
      </c>
      <c r="W5" s="65">
        <f t="shared" ref="W5:W16" si="1">V5*T5</f>
        <v>61</v>
      </c>
      <c r="X5" s="44"/>
    </row>
    <row r="6" spans="1:24" ht="15" customHeight="1">
      <c r="A6" s="6">
        <v>3</v>
      </c>
      <c r="B6" s="7" t="str">
        <f>IF(Allocation!I5="","",VLOOKUP(A6,Allocation!$A$2:$I$47,3))</f>
        <v>Amanda F</v>
      </c>
      <c r="C6" s="6">
        <f>IF(B6="","",VLOOKUP(A6,Allocation!$A$2:$I$47,4,))</f>
        <v>75</v>
      </c>
      <c r="D6" s="6">
        <f>IF(B6="","",VLOOKUP(A6,Allocation!$A$2:$I$47,9,))</f>
        <v>3</v>
      </c>
      <c r="F6" s="37">
        <f>IF(G6="","",VLOOKUP(G6,$B$4:$C$48,2,))</f>
        <v>70</v>
      </c>
      <c r="G6" s="127" t="s">
        <v>40</v>
      </c>
      <c r="H6" s="127" t="s">
        <v>34</v>
      </c>
      <c r="I6" s="38">
        <f>IF(H6="","",VLOOKUP(H6,$B$4:$C$48,2,))</f>
        <v>64</v>
      </c>
      <c r="K6" s="66">
        <v>1</v>
      </c>
      <c r="L6" s="56">
        <f t="shared" ref="L6:O15" si="2">F6</f>
        <v>70</v>
      </c>
      <c r="M6" s="57" t="str">
        <f>G6</f>
        <v>Amanda D</v>
      </c>
      <c r="N6" s="57" t="str">
        <f t="shared" si="2"/>
        <v>Deb H</v>
      </c>
      <c r="O6" s="56">
        <f t="shared" si="2"/>
        <v>64</v>
      </c>
      <c r="P6" s="58">
        <f t="shared" ref="P6:P16" si="3">O6-L6</f>
        <v>-6</v>
      </c>
      <c r="Q6" s="54">
        <v>300</v>
      </c>
      <c r="R6" s="55">
        <f t="shared" ref="R6:R16" si="4">Q6/350</f>
        <v>0.8571428571428571</v>
      </c>
      <c r="S6" s="55">
        <f t="shared" ref="S6:S16" si="5">P6*R6</f>
        <v>-5.1428571428571423</v>
      </c>
      <c r="T6" s="54">
        <f t="shared" ref="T6:T15" si="6">L6+O6</f>
        <v>134</v>
      </c>
      <c r="U6" s="54">
        <v>4.5</v>
      </c>
      <c r="V6" s="55">
        <f t="shared" si="0"/>
        <v>0.75</v>
      </c>
      <c r="W6" s="67">
        <f t="shared" si="1"/>
        <v>100.5</v>
      </c>
      <c r="X6" s="44"/>
    </row>
    <row r="7" spans="1:24" ht="15" customHeight="1">
      <c r="A7" s="6">
        <v>4</v>
      </c>
      <c r="B7" s="7" t="str">
        <f>IF(Allocation!I6="","",VLOOKUP(A7,Allocation!$A$2:$I$47,3))</f>
        <v>Helen F</v>
      </c>
      <c r="C7" s="6">
        <f>IF(B7="","",VLOOKUP(A7,Allocation!$A$2:$I$47,4,))</f>
        <v>55</v>
      </c>
      <c r="D7" s="6">
        <f>IF(B7="","",VLOOKUP(A7,Allocation!$A$2:$I$47,9,))</f>
        <v>3</v>
      </c>
      <c r="F7" s="37">
        <f t="shared" ref="F7:F15" si="7">IF(G7="","",VLOOKUP(G7,$B$4:$C$48,2,))</f>
        <v>58</v>
      </c>
      <c r="G7" s="127" t="s">
        <v>119</v>
      </c>
      <c r="H7" s="127" t="s">
        <v>46</v>
      </c>
      <c r="I7" s="38">
        <f t="shared" ref="I7:I15" si="8">IF(H7="","",VLOOKUP(H7,$B$4:$C$48,2,))</f>
        <v>71</v>
      </c>
      <c r="K7" s="66">
        <v>2</v>
      </c>
      <c r="L7" s="56">
        <f t="shared" si="2"/>
        <v>58</v>
      </c>
      <c r="M7" s="57" t="str">
        <f t="shared" si="2"/>
        <v>Victoria H</v>
      </c>
      <c r="N7" s="57" t="str">
        <f t="shared" si="2"/>
        <v>Lianna C</v>
      </c>
      <c r="O7" s="56">
        <f t="shared" si="2"/>
        <v>71</v>
      </c>
      <c r="P7" s="58">
        <f t="shared" si="3"/>
        <v>13</v>
      </c>
      <c r="Q7" s="54">
        <v>330</v>
      </c>
      <c r="R7" s="55">
        <f t="shared" si="4"/>
        <v>0.94285714285714284</v>
      </c>
      <c r="S7" s="55">
        <f t="shared" si="5"/>
        <v>12.257142857142856</v>
      </c>
      <c r="T7" s="54">
        <f t="shared" si="6"/>
        <v>129</v>
      </c>
      <c r="U7" s="54">
        <v>3.5</v>
      </c>
      <c r="V7" s="55">
        <f t="shared" si="0"/>
        <v>0.58333333333333337</v>
      </c>
      <c r="W7" s="67">
        <f t="shared" si="1"/>
        <v>75.25</v>
      </c>
      <c r="X7" s="44"/>
    </row>
    <row r="8" spans="1:24" ht="15" customHeight="1">
      <c r="A8" s="6">
        <v>5</v>
      </c>
      <c r="B8" s="7" t="str">
        <f>IF(Allocation!I7="","",VLOOKUP(A8,Allocation!$A$2:$I$47,3))</f>
        <v>Victoria H</v>
      </c>
      <c r="C8" s="6">
        <f>IF(B8="","",VLOOKUP(A8,Allocation!$A$2:$I$47,4,))</f>
        <v>58</v>
      </c>
      <c r="D8" s="6">
        <f>IF(B8="","",VLOOKUP(A8,Allocation!$A$2:$I$47,9,))</f>
        <v>3</v>
      </c>
      <c r="F8" s="37">
        <f t="shared" si="7"/>
        <v>52</v>
      </c>
      <c r="G8" s="127" t="s">
        <v>130</v>
      </c>
      <c r="H8" s="127" t="s">
        <v>107</v>
      </c>
      <c r="I8" s="38">
        <f t="shared" si="8"/>
        <v>74</v>
      </c>
      <c r="K8" s="66">
        <v>3</v>
      </c>
      <c r="L8" s="56">
        <f t="shared" si="2"/>
        <v>52</v>
      </c>
      <c r="M8" s="57" t="str">
        <f t="shared" si="2"/>
        <v>Miu</v>
      </c>
      <c r="N8" s="57" t="str">
        <f t="shared" si="2"/>
        <v>Alison M</v>
      </c>
      <c r="O8" s="56">
        <f t="shared" si="2"/>
        <v>74</v>
      </c>
      <c r="P8" s="58">
        <f t="shared" si="3"/>
        <v>22</v>
      </c>
      <c r="Q8" s="54">
        <v>350</v>
      </c>
      <c r="R8" s="55">
        <f t="shared" si="4"/>
        <v>1</v>
      </c>
      <c r="S8" s="55">
        <f t="shared" si="5"/>
        <v>22</v>
      </c>
      <c r="T8" s="54">
        <f t="shared" si="6"/>
        <v>126</v>
      </c>
      <c r="U8" s="54">
        <v>2.5</v>
      </c>
      <c r="V8" s="55">
        <f t="shared" si="0"/>
        <v>0.41666666666666669</v>
      </c>
      <c r="W8" s="67">
        <f t="shared" si="1"/>
        <v>52.5</v>
      </c>
      <c r="X8" s="44"/>
    </row>
    <row r="9" spans="1:24" ht="15" customHeight="1">
      <c r="A9" s="6">
        <v>6</v>
      </c>
      <c r="B9" s="7" t="str">
        <f>IF(Allocation!I8="","",VLOOKUP(A9,Allocation!$A$2:$I$47,3))</f>
        <v>Bibiana A</v>
      </c>
      <c r="C9" s="6">
        <f>IF(B9="","",VLOOKUP(A9,Allocation!$A$2:$I$47,4,))</f>
        <v>75</v>
      </c>
      <c r="D9" s="6">
        <f>IF(B9="","",VLOOKUP(A9,Allocation!$A$2:$I$47,9,))</f>
        <v>3</v>
      </c>
      <c r="F9" s="37">
        <f t="shared" si="7"/>
        <v>55</v>
      </c>
      <c r="G9" s="127" t="s">
        <v>41</v>
      </c>
      <c r="H9" s="127" t="s">
        <v>32</v>
      </c>
      <c r="I9" s="38">
        <f t="shared" si="8"/>
        <v>63</v>
      </c>
      <c r="K9" s="66">
        <v>4</v>
      </c>
      <c r="L9" s="56">
        <f t="shared" si="2"/>
        <v>55</v>
      </c>
      <c r="M9" s="57" t="str">
        <f t="shared" si="2"/>
        <v>Helen F</v>
      </c>
      <c r="N9" s="57" t="str">
        <f>H9</f>
        <v>Sue T</v>
      </c>
      <c r="O9" s="56">
        <f t="shared" si="2"/>
        <v>63</v>
      </c>
      <c r="P9" s="58">
        <f t="shared" si="3"/>
        <v>8</v>
      </c>
      <c r="Q9" s="54">
        <v>350</v>
      </c>
      <c r="R9" s="55">
        <f t="shared" si="4"/>
        <v>1</v>
      </c>
      <c r="S9" s="55">
        <f t="shared" si="5"/>
        <v>8</v>
      </c>
      <c r="T9" s="54">
        <f t="shared" si="6"/>
        <v>118</v>
      </c>
      <c r="U9" s="54">
        <v>1.5</v>
      </c>
      <c r="V9" s="55">
        <f t="shared" si="0"/>
        <v>0.25</v>
      </c>
      <c r="W9" s="67">
        <f t="shared" si="1"/>
        <v>29.5</v>
      </c>
      <c r="X9" s="44"/>
    </row>
    <row r="10" spans="1:24" ht="15" customHeight="1">
      <c r="A10" s="6">
        <v>7</v>
      </c>
      <c r="B10" s="7" t="str">
        <f>IF(Allocation!I9="","",VLOOKUP(A10,Allocation!$A$2:$I$47,3))</f>
        <v>Deb H</v>
      </c>
      <c r="C10" s="6">
        <f>IF(B10="","",VLOOKUP(A10,Allocation!$A$2:$I$47,4,))</f>
        <v>64</v>
      </c>
      <c r="D10" s="6">
        <f>IF(B10="","",VLOOKUP(A10,Allocation!$A$2:$I$47,9,))</f>
        <v>3</v>
      </c>
      <c r="F10" s="37">
        <f t="shared" si="7"/>
        <v>58</v>
      </c>
      <c r="G10" s="127" t="s">
        <v>39</v>
      </c>
      <c r="H10" s="127" t="s">
        <v>136</v>
      </c>
      <c r="I10" s="38">
        <f t="shared" si="8"/>
        <v>70</v>
      </c>
      <c r="K10" s="66">
        <v>5</v>
      </c>
      <c r="L10" s="56">
        <f t="shared" si="2"/>
        <v>58</v>
      </c>
      <c r="M10" s="57" t="str">
        <f t="shared" si="2"/>
        <v>Jocelyn K</v>
      </c>
      <c r="N10" s="57" t="str">
        <f t="shared" si="2"/>
        <v>Rohini</v>
      </c>
      <c r="O10" s="56">
        <f t="shared" si="2"/>
        <v>70</v>
      </c>
      <c r="P10" s="58">
        <f t="shared" si="3"/>
        <v>12</v>
      </c>
      <c r="Q10" s="54">
        <v>350</v>
      </c>
      <c r="R10" s="55">
        <f t="shared" si="4"/>
        <v>1</v>
      </c>
      <c r="S10" s="55">
        <f t="shared" si="5"/>
        <v>12</v>
      </c>
      <c r="T10" s="54">
        <f t="shared" si="6"/>
        <v>128</v>
      </c>
      <c r="U10" s="54">
        <v>0.5</v>
      </c>
      <c r="V10" s="55">
        <f t="shared" si="0"/>
        <v>8.3333333333333329E-2</v>
      </c>
      <c r="W10" s="67">
        <f t="shared" si="1"/>
        <v>10.666666666666666</v>
      </c>
      <c r="X10" s="44"/>
    </row>
    <row r="11" spans="1:24" ht="15" customHeight="1">
      <c r="A11" s="6">
        <v>8</v>
      </c>
      <c r="B11" s="7" t="str">
        <f>IF(Allocation!I10="","",VLOOKUP(A11,Allocation!$A$2:$I$47,3))</f>
        <v>Amy</v>
      </c>
      <c r="C11" s="6">
        <f>IF(B11="","",VLOOKUP(A11,Allocation!$A$2:$I$47,4,))</f>
        <v>65</v>
      </c>
      <c r="D11" s="6">
        <f>IF(B11="","",VLOOKUP(A11,Allocation!$A$2:$I$47,9,))</f>
        <v>3</v>
      </c>
      <c r="F11" s="37">
        <f t="shared" si="7"/>
        <v>73</v>
      </c>
      <c r="G11" s="127" t="s">
        <v>45</v>
      </c>
      <c r="H11" s="127" t="s">
        <v>132</v>
      </c>
      <c r="I11" s="38">
        <f t="shared" si="8"/>
        <v>67</v>
      </c>
      <c r="K11" s="66">
        <v>6</v>
      </c>
      <c r="L11" s="56">
        <f t="shared" si="2"/>
        <v>73</v>
      </c>
      <c r="M11" s="57" t="str">
        <f t="shared" si="2"/>
        <v>Leah H</v>
      </c>
      <c r="N11" s="57" t="str">
        <f t="shared" si="2"/>
        <v>Anne-Marie</v>
      </c>
      <c r="O11" s="56">
        <f t="shared" si="2"/>
        <v>67</v>
      </c>
      <c r="P11" s="58">
        <f t="shared" si="3"/>
        <v>-6</v>
      </c>
      <c r="Q11" s="54">
        <v>350</v>
      </c>
      <c r="R11" s="55">
        <f t="shared" si="4"/>
        <v>1</v>
      </c>
      <c r="S11" s="55">
        <f t="shared" si="5"/>
        <v>-6</v>
      </c>
      <c r="T11" s="54">
        <f t="shared" si="6"/>
        <v>140</v>
      </c>
      <c r="U11" s="54">
        <v>-0.5</v>
      </c>
      <c r="V11" s="55">
        <f t="shared" si="0"/>
        <v>-8.3333333333333329E-2</v>
      </c>
      <c r="W11" s="67">
        <f t="shared" si="1"/>
        <v>-11.666666666666666</v>
      </c>
      <c r="X11" s="44"/>
    </row>
    <row r="12" spans="1:24" ht="15" customHeight="1">
      <c r="A12" s="6">
        <v>9</v>
      </c>
      <c r="B12" s="7" t="str">
        <f>IF(Allocation!I11="","",VLOOKUP(A12,Allocation!$A$2:$I$47,3))</f>
        <v>Jocelyn K</v>
      </c>
      <c r="C12" s="6">
        <f>IF(B12="","",VLOOKUP(A12,Allocation!$A$2:$I$47,4,))</f>
        <v>58</v>
      </c>
      <c r="D12" s="6">
        <f>IF(B12="","",VLOOKUP(A12,Allocation!$A$2:$I$47,9,))</f>
        <v>3</v>
      </c>
      <c r="F12" s="37">
        <f t="shared" si="7"/>
        <v>74</v>
      </c>
      <c r="G12" s="127" t="s">
        <v>126</v>
      </c>
      <c r="H12" s="127" t="s">
        <v>105</v>
      </c>
      <c r="I12" s="38">
        <f t="shared" si="8"/>
        <v>70</v>
      </c>
      <c r="K12" s="66">
        <v>7</v>
      </c>
      <c r="L12" s="56">
        <f t="shared" si="2"/>
        <v>74</v>
      </c>
      <c r="M12" s="57" t="str">
        <f t="shared" si="2"/>
        <v>Janet A</v>
      </c>
      <c r="N12" s="57" t="str">
        <f t="shared" si="2"/>
        <v>Mary-Alice</v>
      </c>
      <c r="O12" s="56">
        <f t="shared" si="2"/>
        <v>70</v>
      </c>
      <c r="P12" s="58">
        <f t="shared" si="3"/>
        <v>-4</v>
      </c>
      <c r="Q12" s="54">
        <v>350</v>
      </c>
      <c r="R12" s="55">
        <f t="shared" si="4"/>
        <v>1</v>
      </c>
      <c r="S12" s="55">
        <f t="shared" si="5"/>
        <v>-4</v>
      </c>
      <c r="T12" s="54">
        <f t="shared" si="6"/>
        <v>144</v>
      </c>
      <c r="U12" s="54">
        <v>-1.5</v>
      </c>
      <c r="V12" s="55">
        <f t="shared" si="0"/>
        <v>-0.25</v>
      </c>
      <c r="W12" s="67">
        <f t="shared" si="1"/>
        <v>-36</v>
      </c>
      <c r="X12" s="44"/>
    </row>
    <row r="13" spans="1:24" ht="15" customHeight="1">
      <c r="A13" s="6">
        <v>10</v>
      </c>
      <c r="B13" s="7" t="str">
        <f>IF(Allocation!I12="","",VLOOKUP(A13,Allocation!$A$2:$I$47,3))</f>
        <v>Alison M</v>
      </c>
      <c r="C13" s="6">
        <f>IF(B13="","",VLOOKUP(A13,Allocation!$A$2:$I$47,4,))</f>
        <v>74</v>
      </c>
      <c r="D13" s="6">
        <f>IF(B13="","",VLOOKUP(A13,Allocation!$A$2:$I$47,9,))</f>
        <v>3</v>
      </c>
      <c r="F13" s="37">
        <f t="shared" si="7"/>
        <v>75</v>
      </c>
      <c r="G13" s="127" t="s">
        <v>37</v>
      </c>
      <c r="H13" s="127" t="s">
        <v>124</v>
      </c>
      <c r="I13" s="38">
        <f t="shared" si="8"/>
        <v>75</v>
      </c>
      <c r="K13" s="66">
        <v>8</v>
      </c>
      <c r="L13" s="56">
        <f t="shared" si="2"/>
        <v>75</v>
      </c>
      <c r="M13" s="57" t="str">
        <f t="shared" si="2"/>
        <v>Amanda F</v>
      </c>
      <c r="N13" s="57" t="str">
        <f t="shared" si="2"/>
        <v>Bibiana A</v>
      </c>
      <c r="O13" s="56">
        <f t="shared" si="2"/>
        <v>75</v>
      </c>
      <c r="P13" s="58">
        <f t="shared" si="3"/>
        <v>0</v>
      </c>
      <c r="Q13" s="54">
        <v>350</v>
      </c>
      <c r="R13" s="55">
        <f t="shared" si="4"/>
        <v>1</v>
      </c>
      <c r="S13" s="55">
        <f t="shared" si="5"/>
        <v>0</v>
      </c>
      <c r="T13" s="54">
        <f t="shared" si="6"/>
        <v>150</v>
      </c>
      <c r="U13" s="54">
        <v>-2.5</v>
      </c>
      <c r="V13" s="55">
        <f t="shared" si="0"/>
        <v>-0.41666666666666669</v>
      </c>
      <c r="W13" s="67">
        <f t="shared" si="1"/>
        <v>-62.5</v>
      </c>
      <c r="X13" s="44"/>
    </row>
    <row r="14" spans="1:24" ht="15" customHeight="1">
      <c r="A14" s="6">
        <v>11</v>
      </c>
      <c r="B14" s="7" t="str">
        <f>IF(Allocation!I13="","",VLOOKUP(A14,Allocation!$A$2:$I$47,3))</f>
        <v>Janet A</v>
      </c>
      <c r="C14" s="6">
        <f>IF(B14="","",VLOOKUP(A14,Allocation!$A$2:$I$47,4,))</f>
        <v>74</v>
      </c>
      <c r="D14" s="6">
        <f>IF(B14="","",VLOOKUP(A14,Allocation!$A$2:$I$47,9,))</f>
        <v>2</v>
      </c>
      <c r="F14" s="37">
        <f t="shared" si="7"/>
        <v>85</v>
      </c>
      <c r="G14" s="127" t="s">
        <v>52</v>
      </c>
      <c r="H14" s="127" t="s">
        <v>128</v>
      </c>
      <c r="I14" s="38">
        <f t="shared" si="8"/>
        <v>54</v>
      </c>
      <c r="K14" s="66">
        <v>9</v>
      </c>
      <c r="L14" s="56">
        <f t="shared" si="2"/>
        <v>85</v>
      </c>
      <c r="M14" s="57" t="str">
        <f t="shared" si="2"/>
        <v>Rachael H</v>
      </c>
      <c r="N14" s="57" t="str">
        <f t="shared" si="2"/>
        <v>Divina</v>
      </c>
      <c r="O14" s="56">
        <f t="shared" si="2"/>
        <v>54</v>
      </c>
      <c r="P14" s="58">
        <f t="shared" si="3"/>
        <v>-31</v>
      </c>
      <c r="Q14" s="54">
        <v>330</v>
      </c>
      <c r="R14" s="55">
        <f t="shared" si="4"/>
        <v>0.94285714285714284</v>
      </c>
      <c r="S14" s="55">
        <f t="shared" si="5"/>
        <v>-29.228571428571428</v>
      </c>
      <c r="T14" s="54">
        <f t="shared" si="6"/>
        <v>139</v>
      </c>
      <c r="U14" s="54">
        <v>-3.5</v>
      </c>
      <c r="V14" s="55">
        <f t="shared" si="0"/>
        <v>-0.58333333333333337</v>
      </c>
      <c r="W14" s="67">
        <f t="shared" si="1"/>
        <v>-81.083333333333343</v>
      </c>
      <c r="X14" s="44"/>
    </row>
    <row r="15" spans="1:24" ht="15" customHeight="1">
      <c r="A15" s="6">
        <v>12</v>
      </c>
      <c r="B15" s="7" t="str">
        <f>IF(Allocation!I14="","",VLOOKUP(A15,Allocation!$A$2:$I$47,3))</f>
        <v>S-J</v>
      </c>
      <c r="C15" s="6">
        <f>IF(B15="","",VLOOKUP(A15,Allocation!$A$2:$I$47,4,))</f>
        <v>62</v>
      </c>
      <c r="D15" s="6" t="str">
        <f>IF(B15="","",VLOOKUP(A15,Allocation!$A$2:$I$47,9,))</f>
        <v>Sweep</v>
      </c>
      <c r="F15" s="37">
        <f t="shared" si="7"/>
        <v>65</v>
      </c>
      <c r="G15" s="127" t="s">
        <v>122</v>
      </c>
      <c r="H15" s="127" t="s">
        <v>101</v>
      </c>
      <c r="I15" s="38">
        <f t="shared" si="8"/>
        <v>58</v>
      </c>
      <c r="K15" s="66">
        <v>10</v>
      </c>
      <c r="L15" s="56">
        <f t="shared" si="2"/>
        <v>65</v>
      </c>
      <c r="M15" s="57" t="str">
        <f t="shared" si="2"/>
        <v>Amy</v>
      </c>
      <c r="N15" s="57" t="str">
        <f t="shared" si="2"/>
        <v>Alice C</v>
      </c>
      <c r="O15" s="56">
        <f t="shared" si="2"/>
        <v>58</v>
      </c>
      <c r="P15" s="58">
        <f t="shared" si="3"/>
        <v>-7</v>
      </c>
      <c r="Q15" s="54">
        <v>300</v>
      </c>
      <c r="R15" s="55">
        <f t="shared" si="4"/>
        <v>0.8571428571428571</v>
      </c>
      <c r="S15" s="55">
        <f t="shared" si="5"/>
        <v>-6</v>
      </c>
      <c r="T15" s="54">
        <f t="shared" si="6"/>
        <v>123</v>
      </c>
      <c r="U15" s="54">
        <v>-4.5</v>
      </c>
      <c r="V15" s="55">
        <f t="shared" si="0"/>
        <v>-0.75</v>
      </c>
      <c r="W15" s="67">
        <f t="shared" si="1"/>
        <v>-92.25</v>
      </c>
      <c r="X15" s="44"/>
    </row>
    <row r="16" spans="1:24" ht="15.75" customHeight="1" thickBot="1">
      <c r="A16" s="6">
        <v>13</v>
      </c>
      <c r="B16" s="7" t="str">
        <f>IF(Allocation!I15="","",VLOOKUP(A16,Allocation!$A$2:$I$47,3))</f>
        <v>Sue T</v>
      </c>
      <c r="C16" s="6">
        <f>IF(B16="","",VLOOKUP(A16,Allocation!$A$2:$I$47,4,))</f>
        <v>63</v>
      </c>
      <c r="D16" s="6">
        <f>IF(B16="","",VLOOKUP(A16,Allocation!$A$2:$I$47,9,))</f>
        <v>3</v>
      </c>
      <c r="F16" s="34"/>
      <c r="G16" s="128" t="s">
        <v>20</v>
      </c>
      <c r="H16" s="40">
        <f>IF(G16="","",VLOOKUP(G16,$B$4:$C$48,2,))</f>
        <v>62</v>
      </c>
      <c r="I16" s="35"/>
      <c r="K16" s="66"/>
      <c r="L16" s="54">
        <v>3</v>
      </c>
      <c r="M16" s="11"/>
      <c r="N16" s="11"/>
      <c r="O16" s="53"/>
      <c r="P16" s="54">
        <f t="shared" si="3"/>
        <v>-3</v>
      </c>
      <c r="Q16" s="54">
        <v>420</v>
      </c>
      <c r="R16" s="55">
        <f t="shared" si="4"/>
        <v>1.2</v>
      </c>
      <c r="S16" s="55">
        <f t="shared" si="5"/>
        <v>-3.5999999999999996</v>
      </c>
      <c r="T16" s="54">
        <f>H16+7</f>
        <v>69</v>
      </c>
      <c r="U16" s="54">
        <v>-6</v>
      </c>
      <c r="V16" s="55">
        <f t="shared" si="0"/>
        <v>-1</v>
      </c>
      <c r="W16" s="67">
        <f t="shared" si="1"/>
        <v>-69</v>
      </c>
      <c r="X16" s="44"/>
    </row>
    <row r="17" spans="1:24" ht="15.6" customHeight="1" thickBot="1">
      <c r="A17" s="6">
        <v>14</v>
      </c>
      <c r="B17" s="7" t="str">
        <f>IF(Allocation!I16="","",VLOOKUP(A17,Allocation!$A$2:$I$47,3))</f>
        <v>Divina</v>
      </c>
      <c r="C17" s="6">
        <f>IF(B17="","",VLOOKUP(A17,Allocation!$A$2:$I$47,4,))</f>
        <v>54</v>
      </c>
      <c r="D17" s="6">
        <f>IF(B17="","",VLOOKUP(A17,Allocation!$A$2:$I$47,9,))</f>
        <v>3</v>
      </c>
      <c r="K17" s="68"/>
      <c r="L17" s="69">
        <f>SUM(L6:L16)</f>
        <v>668</v>
      </c>
      <c r="M17" s="70"/>
      <c r="N17" s="70"/>
      <c r="O17" s="69">
        <f>SUM(O6:O16)</f>
        <v>666</v>
      </c>
      <c r="P17" s="71"/>
      <c r="Q17" s="71"/>
      <c r="R17" s="71"/>
      <c r="S17" s="76">
        <f>SUM(S6:S16)</f>
        <v>0.28571428571428648</v>
      </c>
      <c r="T17" s="71"/>
      <c r="U17" s="71"/>
      <c r="V17" s="72"/>
      <c r="W17" s="77">
        <f>SUM(W5:W16)</f>
        <v>-23.083333333333343</v>
      </c>
      <c r="X17" s="44"/>
    </row>
    <row r="18" spans="1:24" ht="15" customHeight="1">
      <c r="A18" s="6">
        <v>15</v>
      </c>
      <c r="B18" s="7" t="str">
        <f>IF(Allocation!I17="","",VLOOKUP(A18,Allocation!$A$2:$I$47,3))</f>
        <v>Alice C</v>
      </c>
      <c r="C18" s="6">
        <f>IF(B18="","",VLOOKUP(A18,Allocation!$A$2:$I$47,4,))</f>
        <v>58</v>
      </c>
      <c r="D18" s="6">
        <f>IF(B18="","",VLOOKUP(A18,Allocation!$A$2:$I$47,9,))</f>
        <v>3</v>
      </c>
      <c r="F18" s="42" t="s">
        <v>6</v>
      </c>
      <c r="K18" s="46"/>
      <c r="L18" s="47" t="s">
        <v>7</v>
      </c>
      <c r="M18" s="50"/>
      <c r="N18" s="51"/>
      <c r="O18" s="45">
        <v>87</v>
      </c>
      <c r="P18" s="48"/>
      <c r="Q18" s="48"/>
      <c r="R18" s="48"/>
      <c r="S18" s="52" t="s">
        <v>8</v>
      </c>
      <c r="T18" s="48"/>
      <c r="U18" s="48"/>
      <c r="V18" s="48"/>
      <c r="W18" s="52" t="s">
        <v>9</v>
      </c>
      <c r="X18" s="44"/>
    </row>
    <row r="19" spans="1:24" ht="15" customHeight="1">
      <c r="A19" s="6">
        <v>16</v>
      </c>
      <c r="B19" s="7" t="str">
        <f>IF(Allocation!I18="","",VLOOKUP(A19,Allocation!$A$2:$I$47,3))</f>
        <v>Miu</v>
      </c>
      <c r="C19" s="6">
        <f>IF(B19="","",VLOOKUP(A19,Allocation!$A$2:$I$47,4,))</f>
        <v>52</v>
      </c>
      <c r="D19" s="6">
        <f>IF(B19="","",VLOOKUP(A19,Allocation!$A$2:$I$47,9,))</f>
        <v>3</v>
      </c>
      <c r="G19" s="127" t="s">
        <v>134</v>
      </c>
      <c r="H19" s="36">
        <f>IF(G19="","",VLOOKUP(G19,$B$4:$C$29,2,))</f>
        <v>64</v>
      </c>
      <c r="K19" s="46"/>
      <c r="L19" s="58">
        <f>H19</f>
        <v>64</v>
      </c>
      <c r="M19" s="73" t="str">
        <f>G19</f>
        <v>Liz Mc</v>
      </c>
      <c r="N19" s="146" t="s">
        <v>10</v>
      </c>
      <c r="O19" s="147"/>
      <c r="P19" s="148"/>
      <c r="Q19" s="74">
        <f>SUM(O6:O15,L6:L15)</f>
        <v>1331</v>
      </c>
      <c r="R19" s="48"/>
      <c r="S19" s="52" t="s">
        <v>11</v>
      </c>
      <c r="T19" s="48"/>
      <c r="U19" s="49"/>
      <c r="V19" s="48"/>
      <c r="W19" s="52" t="s">
        <v>11</v>
      </c>
      <c r="X19" s="44"/>
    </row>
    <row r="20" spans="1:24" ht="15" customHeight="1">
      <c r="A20" s="6">
        <v>17</v>
      </c>
      <c r="B20" s="7" t="str">
        <f>IF(Allocation!I19="","",VLOOKUP(A20,Allocation!$A$2:$I$47,3))</f>
        <v>Anne-Marie</v>
      </c>
      <c r="C20" s="6">
        <f>IF(B20="","",VLOOKUP(A20,Allocation!$A$2:$I$47,4,))</f>
        <v>67</v>
      </c>
      <c r="D20" s="6">
        <f>IF(B20="","",VLOOKUP(A20,Allocation!$A$2:$I$47,9,))</f>
        <v>3</v>
      </c>
      <c r="G20" s="127"/>
      <c r="H20" s="36" t="str">
        <f t="shared" ref="H20:H22" si="9">IF(G20="","",VLOOKUP(G20,$B$4:$C$29,2,))</f>
        <v/>
      </c>
      <c r="K20" s="46"/>
      <c r="L20" s="58" t="str">
        <f>H20</f>
        <v/>
      </c>
      <c r="M20" s="73">
        <f>G20</f>
        <v>0</v>
      </c>
      <c r="N20" s="146" t="s">
        <v>12</v>
      </c>
      <c r="O20" s="147"/>
      <c r="P20" s="148"/>
      <c r="Q20" s="74">
        <f>SUM(O6:O15,L6:L15)/20</f>
        <v>66.55</v>
      </c>
      <c r="R20" s="49"/>
      <c r="S20" s="107" t="s">
        <v>84</v>
      </c>
      <c r="T20" s="49"/>
      <c r="U20" s="49"/>
      <c r="V20" s="48"/>
      <c r="W20" s="107" t="s">
        <v>85</v>
      </c>
      <c r="X20" s="44"/>
    </row>
    <row r="21" spans="1:24" ht="15" customHeight="1">
      <c r="A21" s="6">
        <v>18</v>
      </c>
      <c r="B21" s="7" t="str">
        <f>IF(Allocation!I20="","",VLOOKUP(A21,Allocation!$A$2:$I$47,3))</f>
        <v>Leah H</v>
      </c>
      <c r="C21" s="6">
        <f>IF(B21="","",VLOOKUP(A21,Allocation!$A$2:$I$47,4,))</f>
        <v>73</v>
      </c>
      <c r="D21" s="6">
        <f>IF(B21="","",VLOOKUP(A21,Allocation!$A$2:$I$47,9,))</f>
        <v>3</v>
      </c>
      <c r="G21" s="127"/>
      <c r="H21" s="36" t="str">
        <f t="shared" si="9"/>
        <v/>
      </c>
      <c r="K21" s="46"/>
      <c r="L21" s="58" t="str">
        <f>H21</f>
        <v/>
      </c>
      <c r="M21" s="73">
        <f>G21</f>
        <v>0</v>
      </c>
      <c r="N21" s="146" t="s">
        <v>13</v>
      </c>
      <c r="O21" s="147"/>
      <c r="P21" s="148"/>
      <c r="Q21" s="74">
        <f>SUM(Q19,T16,T5,650)</f>
        <v>2111</v>
      </c>
      <c r="R21" s="49"/>
      <c r="S21" s="49"/>
      <c r="T21" s="49"/>
      <c r="U21" s="49"/>
      <c r="V21" s="48"/>
      <c r="W21" s="48"/>
      <c r="X21" s="44"/>
    </row>
    <row r="22" spans="1:24" ht="15" customHeight="1">
      <c r="A22" s="6">
        <v>19</v>
      </c>
      <c r="B22" s="7" t="str">
        <f>IF(Allocation!I21="","",VLOOKUP(A22,Allocation!$A$2:$I$47,3))</f>
        <v>Rachael H</v>
      </c>
      <c r="C22" s="6">
        <f>IF(B22="","",VLOOKUP(A22,Allocation!$A$2:$I$47,4,))</f>
        <v>85</v>
      </c>
      <c r="D22" s="6">
        <f>IF(B22="","",VLOOKUP(A22,Allocation!$A$2:$I$47,9,))</f>
        <v>2</v>
      </c>
      <c r="G22" s="127"/>
      <c r="H22" s="36" t="str">
        <f t="shared" si="9"/>
        <v/>
      </c>
      <c r="K22" s="46"/>
      <c r="L22" s="58" t="str">
        <f>H22</f>
        <v/>
      </c>
      <c r="M22" s="73">
        <f>G22</f>
        <v>0</v>
      </c>
      <c r="N22" s="146" t="s">
        <v>14</v>
      </c>
      <c r="O22" s="147"/>
      <c r="P22" s="148"/>
      <c r="Q22" s="75">
        <f>SUM(Q19,T16,T5,650)/20</f>
        <v>105.55</v>
      </c>
      <c r="R22" s="49"/>
      <c r="S22" s="49"/>
      <c r="T22" s="49"/>
      <c r="U22" s="49"/>
      <c r="V22" s="48"/>
      <c r="W22" s="48"/>
      <c r="X22" s="44"/>
    </row>
    <row r="23" spans="1:24" ht="15" customHeight="1">
      <c r="A23" s="6">
        <v>20</v>
      </c>
      <c r="B23" s="7" t="str">
        <f>IF(Allocation!I22="","",VLOOKUP(A23,Allocation!$A$2:$I$47,3))</f>
        <v>Liz Mc</v>
      </c>
      <c r="C23" s="6">
        <f>IF(B23="","",VLOOKUP(A23,Allocation!$A$2:$I$47,4,))</f>
        <v>64</v>
      </c>
      <c r="D23" s="6">
        <f>IF(B23="","",VLOOKUP(A23,Allocation!$A$2:$I$47,9,))</f>
        <v>3</v>
      </c>
      <c r="I23" s="129"/>
    </row>
    <row r="24" spans="1:24" ht="15" customHeight="1">
      <c r="A24" s="6">
        <v>21</v>
      </c>
      <c r="B24" s="7" t="str">
        <f>IF(Allocation!I23="","",VLOOKUP(A24,Allocation!$A$2:$I$47,3))</f>
        <v>Rohini</v>
      </c>
      <c r="C24" s="6">
        <f>IF(B24="","",VLOOKUP(A24,Allocation!$A$2:$I$47,4,))</f>
        <v>70</v>
      </c>
      <c r="D24" s="6">
        <f>IF(B24="","",VLOOKUP(A24,Allocation!$A$2:$I$47,9,))</f>
        <v>3</v>
      </c>
    </row>
    <row r="25" spans="1:24" ht="15" customHeight="1" thickBot="1">
      <c r="A25" s="6">
        <v>22</v>
      </c>
      <c r="B25" s="7" t="str">
        <f>IF(Allocation!I24="","",VLOOKUP(A25,Allocation!$A$2:$I$47,3))</f>
        <v>Alice S</v>
      </c>
      <c r="C25" s="6">
        <f>IF(B25="","",VLOOKUP(A25,Allocation!$A$2:$I$47,4,))</f>
        <v>47</v>
      </c>
      <c r="D25" s="6" t="str">
        <f>IF(B25="","",VLOOKUP(A25,Allocation!$A$2:$I$47,9,))</f>
        <v>Drum</v>
      </c>
      <c r="F25" s="43" t="s">
        <v>15</v>
      </c>
    </row>
    <row r="26" spans="1:24" ht="15" customHeight="1">
      <c r="A26" s="6">
        <v>23</v>
      </c>
      <c r="B26" s="7" t="str">
        <f>IF(Allocation!I25="","",VLOOKUP(A26,Allocation!$A$2:$I$47,3))</f>
        <v>Lianna C</v>
      </c>
      <c r="C26" s="6">
        <f>IF(B26="","",VLOOKUP(A26,Allocation!$A$2:$I$47,4,))</f>
        <v>71</v>
      </c>
      <c r="D26" s="6">
        <f>IF(B26="","",VLOOKUP(A26,Allocation!$A$2:$I$47,9,))</f>
        <v>3</v>
      </c>
      <c r="F26" s="32"/>
      <c r="G26" s="126" t="s">
        <v>138</v>
      </c>
      <c r="H26" s="39">
        <f>IF(G26="","",VLOOKUP(G26,$B$4:$C$48,2,))</f>
        <v>47</v>
      </c>
      <c r="I26" s="33"/>
      <c r="K26" s="59"/>
      <c r="L26" s="60" t="s">
        <v>3</v>
      </c>
      <c r="M26" s="61" t="s">
        <v>4</v>
      </c>
      <c r="N26" s="61" t="s">
        <v>5</v>
      </c>
      <c r="O26" s="60" t="s">
        <v>3</v>
      </c>
      <c r="P26" s="62"/>
      <c r="Q26" s="62"/>
      <c r="R26" s="62"/>
      <c r="S26" s="62"/>
      <c r="T26" s="63">
        <f>H26+14</f>
        <v>61</v>
      </c>
      <c r="U26" s="63">
        <v>6</v>
      </c>
      <c r="V26" s="64">
        <f t="shared" ref="V26:V37" si="10">(U26)/6</f>
        <v>1</v>
      </c>
      <c r="W26" s="65">
        <f t="shared" ref="W26:W37" si="11">V26*T26</f>
        <v>61</v>
      </c>
    </row>
    <row r="27" spans="1:24" ht="15" customHeight="1">
      <c r="A27" s="6">
        <v>24</v>
      </c>
      <c r="B27" s="7" t="str">
        <f>IF(Allocation!I26="","",VLOOKUP(A27,Allocation!$A$2:$I$47,3))</f>
        <v/>
      </c>
      <c r="C27" s="6" t="str">
        <f>IF(B27="","",VLOOKUP(A27,Allocation!$A$2:$I$47,4,))</f>
        <v/>
      </c>
      <c r="D27" s="6" t="str">
        <f>IF(B27="","",VLOOKUP(A27,Allocation!$A$2:$I$47,9,))</f>
        <v/>
      </c>
      <c r="F27" s="37">
        <f>IF(G27="","",VLOOKUP(G27,$B$4:$C$48,2,))</f>
        <v>64</v>
      </c>
      <c r="G27" s="127" t="s">
        <v>34</v>
      </c>
      <c r="H27" s="127" t="s">
        <v>40</v>
      </c>
      <c r="I27" s="38">
        <f>IF(H27="","",VLOOKUP(H27,$B$4:$C$48,2,))</f>
        <v>70</v>
      </c>
      <c r="K27" s="66">
        <v>1</v>
      </c>
      <c r="L27" s="56">
        <f t="shared" ref="L27:O36" si="12">F27</f>
        <v>64</v>
      </c>
      <c r="M27" s="57" t="str">
        <f t="shared" si="12"/>
        <v>Deb H</v>
      </c>
      <c r="N27" s="57" t="str">
        <f t="shared" si="12"/>
        <v>Amanda D</v>
      </c>
      <c r="O27" s="56">
        <f t="shared" si="12"/>
        <v>70</v>
      </c>
      <c r="P27" s="58">
        <f t="shared" ref="P27:P37" si="13">O27-L27</f>
        <v>6</v>
      </c>
      <c r="Q27" s="54">
        <v>300</v>
      </c>
      <c r="R27" s="55">
        <f t="shared" ref="R27:R37" si="14">Q27/350</f>
        <v>0.8571428571428571</v>
      </c>
      <c r="S27" s="55">
        <f t="shared" ref="S27:S37" si="15">P27*R27</f>
        <v>5.1428571428571423</v>
      </c>
      <c r="T27" s="54">
        <f t="shared" ref="T27:T36" si="16">L27+O27</f>
        <v>134</v>
      </c>
      <c r="U27" s="54">
        <v>4.5</v>
      </c>
      <c r="V27" s="55">
        <f t="shared" si="10"/>
        <v>0.75</v>
      </c>
      <c r="W27" s="67">
        <f t="shared" si="11"/>
        <v>100.5</v>
      </c>
      <c r="X27" s="44"/>
    </row>
    <row r="28" spans="1:24" ht="15" customHeight="1">
      <c r="A28" s="6">
        <v>25</v>
      </c>
      <c r="B28" s="7" t="str">
        <f>IF(Allocation!I27="","",VLOOKUP(A28,Allocation!$A$2:$I$47,3))</f>
        <v/>
      </c>
      <c r="C28" s="6" t="str">
        <f>IF(B28="","",VLOOKUP(A28,Allocation!$A$2:$I$47,4,))</f>
        <v/>
      </c>
      <c r="D28" s="6" t="str">
        <f>IF(B28="","",VLOOKUP(A28,Allocation!$A$2:$I$47,9,))</f>
        <v/>
      </c>
      <c r="F28" s="37">
        <f t="shared" ref="F28:F36" si="17">IF(G28="","",VLOOKUP(G28,$B$4:$C$48,2,))</f>
        <v>58</v>
      </c>
      <c r="G28" s="127" t="s">
        <v>119</v>
      </c>
      <c r="H28" s="127" t="s">
        <v>46</v>
      </c>
      <c r="I28" s="38">
        <f t="shared" ref="I28:I36" si="18">IF(H28="","",VLOOKUP(H28,$B$4:$C$29,2,))</f>
        <v>71</v>
      </c>
      <c r="K28" s="66">
        <v>2</v>
      </c>
      <c r="L28" s="56">
        <f t="shared" si="12"/>
        <v>58</v>
      </c>
      <c r="M28" s="57" t="str">
        <f t="shared" si="12"/>
        <v>Victoria H</v>
      </c>
      <c r="N28" s="57" t="str">
        <f t="shared" si="12"/>
        <v>Lianna C</v>
      </c>
      <c r="O28" s="56">
        <f t="shared" si="12"/>
        <v>71</v>
      </c>
      <c r="P28" s="58">
        <f t="shared" si="13"/>
        <v>13</v>
      </c>
      <c r="Q28" s="54">
        <v>330</v>
      </c>
      <c r="R28" s="55">
        <f t="shared" si="14"/>
        <v>0.94285714285714284</v>
      </c>
      <c r="S28" s="55">
        <f t="shared" si="15"/>
        <v>12.257142857142856</v>
      </c>
      <c r="T28" s="54">
        <f t="shared" si="16"/>
        <v>129</v>
      </c>
      <c r="U28" s="54">
        <v>3.5</v>
      </c>
      <c r="V28" s="55">
        <f t="shared" si="10"/>
        <v>0.58333333333333337</v>
      </c>
      <c r="W28" s="67">
        <f t="shared" si="11"/>
        <v>75.25</v>
      </c>
      <c r="X28" s="44"/>
    </row>
    <row r="29" spans="1:24" ht="15" customHeight="1">
      <c r="A29" s="6">
        <v>26</v>
      </c>
      <c r="B29" s="7" t="str">
        <f>IF(Allocation!I28="","",VLOOKUP(A29,Allocation!$A$2:$I$47,3))</f>
        <v/>
      </c>
      <c r="C29" s="6" t="str">
        <f>IF(B29="","",VLOOKUP(A29,Allocation!$A$2:$I$47,4,))</f>
        <v/>
      </c>
      <c r="D29" s="6" t="str">
        <f>IF(B29="","",VLOOKUP(A29,Allocation!$A$2:$I$47,9,))</f>
        <v/>
      </c>
      <c r="F29" s="37">
        <f t="shared" si="17"/>
        <v>74</v>
      </c>
      <c r="G29" s="127" t="s">
        <v>107</v>
      </c>
      <c r="H29" s="127" t="s">
        <v>130</v>
      </c>
      <c r="I29" s="38">
        <f t="shared" si="18"/>
        <v>52</v>
      </c>
      <c r="K29" s="66">
        <v>3</v>
      </c>
      <c r="L29" s="56">
        <f t="shared" si="12"/>
        <v>74</v>
      </c>
      <c r="M29" s="57" t="str">
        <f t="shared" si="12"/>
        <v>Alison M</v>
      </c>
      <c r="N29" s="57" t="str">
        <f t="shared" si="12"/>
        <v>Miu</v>
      </c>
      <c r="O29" s="56">
        <f t="shared" si="12"/>
        <v>52</v>
      </c>
      <c r="P29" s="58">
        <f t="shared" si="13"/>
        <v>-22</v>
      </c>
      <c r="Q29" s="54">
        <v>350</v>
      </c>
      <c r="R29" s="55">
        <f t="shared" si="14"/>
        <v>1</v>
      </c>
      <c r="S29" s="55">
        <f t="shared" si="15"/>
        <v>-22</v>
      </c>
      <c r="T29" s="54">
        <f t="shared" si="16"/>
        <v>126</v>
      </c>
      <c r="U29" s="54">
        <v>2.5</v>
      </c>
      <c r="V29" s="55">
        <f t="shared" si="10"/>
        <v>0.41666666666666669</v>
      </c>
      <c r="W29" s="67">
        <f t="shared" si="11"/>
        <v>52.5</v>
      </c>
      <c r="X29" s="44"/>
    </row>
    <row r="30" spans="1:24" ht="15" customHeight="1">
      <c r="A30" s="6">
        <v>27</v>
      </c>
      <c r="B30" s="7" t="str">
        <f>IF(Allocation!I29="","",VLOOKUP(A30,Allocation!$A$2:$I$47,3))</f>
        <v/>
      </c>
      <c r="C30" s="6" t="str">
        <f>IF(B30="","",VLOOKUP(A30,Allocation!$A$2:$I$47,4,))</f>
        <v/>
      </c>
      <c r="D30" s="6" t="str">
        <f>IF(B30="","",VLOOKUP(A30,Allocation!$A$2:$I$47,9,))</f>
        <v/>
      </c>
      <c r="F30" s="37">
        <f t="shared" si="17"/>
        <v>63</v>
      </c>
      <c r="G30" s="127" t="s">
        <v>32</v>
      </c>
      <c r="H30" s="127" t="s">
        <v>41</v>
      </c>
      <c r="I30" s="38">
        <f t="shared" si="18"/>
        <v>55</v>
      </c>
      <c r="K30" s="66">
        <v>4</v>
      </c>
      <c r="L30" s="56">
        <f t="shared" si="12"/>
        <v>63</v>
      </c>
      <c r="M30" s="57" t="str">
        <f t="shared" si="12"/>
        <v>Sue T</v>
      </c>
      <c r="N30" s="57" t="str">
        <f t="shared" si="12"/>
        <v>Helen F</v>
      </c>
      <c r="O30" s="56">
        <f t="shared" si="12"/>
        <v>55</v>
      </c>
      <c r="P30" s="58">
        <f t="shared" si="13"/>
        <v>-8</v>
      </c>
      <c r="Q30" s="54">
        <v>350</v>
      </c>
      <c r="R30" s="55">
        <f t="shared" si="14"/>
        <v>1</v>
      </c>
      <c r="S30" s="55">
        <f t="shared" si="15"/>
        <v>-8</v>
      </c>
      <c r="T30" s="54">
        <f t="shared" si="16"/>
        <v>118</v>
      </c>
      <c r="U30" s="54">
        <v>1.5</v>
      </c>
      <c r="V30" s="55">
        <f t="shared" si="10"/>
        <v>0.25</v>
      </c>
      <c r="W30" s="67">
        <f t="shared" si="11"/>
        <v>29.5</v>
      </c>
      <c r="X30" s="44"/>
    </row>
    <row r="31" spans="1:24" ht="15" customHeight="1">
      <c r="A31" s="6">
        <v>28</v>
      </c>
      <c r="B31" s="7" t="str">
        <f>IF(Allocation!I30="","",VLOOKUP(A31,Allocation!$A$2:$I$47,3))</f>
        <v/>
      </c>
      <c r="C31" s="6" t="str">
        <f>IF(B31="","",VLOOKUP(A31,Allocation!$A$2:$I$47,4,))</f>
        <v/>
      </c>
      <c r="D31" s="6" t="str">
        <f>IF(B31="","",VLOOKUP(A31,Allocation!$A$2:$I$47,9,))</f>
        <v/>
      </c>
      <c r="F31" s="37">
        <f t="shared" si="17"/>
        <v>70</v>
      </c>
      <c r="G31" s="127" t="s">
        <v>136</v>
      </c>
      <c r="H31" s="127" t="s">
        <v>39</v>
      </c>
      <c r="I31" s="38">
        <f t="shared" si="18"/>
        <v>58</v>
      </c>
      <c r="K31" s="66">
        <v>5</v>
      </c>
      <c r="L31" s="56">
        <f t="shared" si="12"/>
        <v>70</v>
      </c>
      <c r="M31" s="57" t="str">
        <f t="shared" si="12"/>
        <v>Rohini</v>
      </c>
      <c r="N31" s="57" t="str">
        <f t="shared" si="12"/>
        <v>Jocelyn K</v>
      </c>
      <c r="O31" s="56">
        <f t="shared" si="12"/>
        <v>58</v>
      </c>
      <c r="P31" s="58">
        <f t="shared" si="13"/>
        <v>-12</v>
      </c>
      <c r="Q31" s="54">
        <v>350</v>
      </c>
      <c r="R31" s="55">
        <f t="shared" si="14"/>
        <v>1</v>
      </c>
      <c r="S31" s="55">
        <f t="shared" si="15"/>
        <v>-12</v>
      </c>
      <c r="T31" s="54">
        <f t="shared" si="16"/>
        <v>128</v>
      </c>
      <c r="U31" s="54">
        <v>0.5</v>
      </c>
      <c r="V31" s="55">
        <f t="shared" si="10"/>
        <v>8.3333333333333329E-2</v>
      </c>
      <c r="W31" s="67">
        <f t="shared" si="11"/>
        <v>10.666666666666666</v>
      </c>
      <c r="X31" s="44"/>
    </row>
    <row r="32" spans="1:24" ht="15" customHeight="1">
      <c r="A32" s="6">
        <v>29</v>
      </c>
      <c r="B32" s="7" t="str">
        <f>IF(Allocation!I31="","",VLOOKUP(A32,Allocation!$A$2:$I$47,3))</f>
        <v/>
      </c>
      <c r="C32" s="6" t="str">
        <f>IF(B32="","",VLOOKUP(A32,Allocation!$A$2:$I$47,4,))</f>
        <v/>
      </c>
      <c r="D32" s="6" t="str">
        <f>IF(B32="","",VLOOKUP(A32,Allocation!$A$2:$I$47,9,))</f>
        <v/>
      </c>
      <c r="F32" s="37">
        <f t="shared" si="17"/>
        <v>67</v>
      </c>
      <c r="G32" s="127" t="s">
        <v>132</v>
      </c>
      <c r="H32" s="127" t="s">
        <v>45</v>
      </c>
      <c r="I32" s="38">
        <f t="shared" si="18"/>
        <v>73</v>
      </c>
      <c r="K32" s="66">
        <v>6</v>
      </c>
      <c r="L32" s="56">
        <f t="shared" si="12"/>
        <v>67</v>
      </c>
      <c r="M32" s="57" t="str">
        <f t="shared" si="12"/>
        <v>Anne-Marie</v>
      </c>
      <c r="N32" s="57" t="str">
        <f t="shared" si="12"/>
        <v>Leah H</v>
      </c>
      <c r="O32" s="56">
        <f t="shared" si="12"/>
        <v>73</v>
      </c>
      <c r="P32" s="58">
        <f t="shared" si="13"/>
        <v>6</v>
      </c>
      <c r="Q32" s="54">
        <v>350</v>
      </c>
      <c r="R32" s="55">
        <f t="shared" si="14"/>
        <v>1</v>
      </c>
      <c r="S32" s="55">
        <f t="shared" si="15"/>
        <v>6</v>
      </c>
      <c r="T32" s="54">
        <f t="shared" si="16"/>
        <v>140</v>
      </c>
      <c r="U32" s="54">
        <v>-0.5</v>
      </c>
      <c r="V32" s="55">
        <f t="shared" si="10"/>
        <v>-8.3333333333333329E-2</v>
      </c>
      <c r="W32" s="67">
        <f t="shared" si="11"/>
        <v>-11.666666666666666</v>
      </c>
      <c r="X32" s="44"/>
    </row>
    <row r="33" spans="1:24" ht="15" customHeight="1">
      <c r="A33" s="6">
        <v>30</v>
      </c>
      <c r="B33" s="7" t="str">
        <f>IF(Allocation!I32="","",VLOOKUP(A33,Allocation!$A$2:$I$47,3))</f>
        <v/>
      </c>
      <c r="C33" s="6" t="str">
        <f>IF(B33="","",VLOOKUP(A33,Allocation!$A$2:$I$47,4,))</f>
        <v/>
      </c>
      <c r="D33" s="6" t="str">
        <f>IF(B33="","",VLOOKUP(A33,Allocation!$A$2:$I$47,9,))</f>
        <v/>
      </c>
      <c r="F33" s="37">
        <f t="shared" si="17"/>
        <v>74</v>
      </c>
      <c r="G33" s="127" t="s">
        <v>126</v>
      </c>
      <c r="H33" s="127" t="s">
        <v>134</v>
      </c>
      <c r="I33" s="38">
        <f t="shared" si="18"/>
        <v>64</v>
      </c>
      <c r="K33" s="66">
        <v>7</v>
      </c>
      <c r="L33" s="56">
        <f t="shared" si="12"/>
        <v>74</v>
      </c>
      <c r="M33" s="57" t="str">
        <f t="shared" si="12"/>
        <v>Janet A</v>
      </c>
      <c r="N33" s="57" t="str">
        <f t="shared" si="12"/>
        <v>Liz Mc</v>
      </c>
      <c r="O33" s="56">
        <f t="shared" si="12"/>
        <v>64</v>
      </c>
      <c r="P33" s="58">
        <f t="shared" si="13"/>
        <v>-10</v>
      </c>
      <c r="Q33" s="54">
        <v>350</v>
      </c>
      <c r="R33" s="55">
        <f t="shared" si="14"/>
        <v>1</v>
      </c>
      <c r="S33" s="55">
        <f t="shared" si="15"/>
        <v>-10</v>
      </c>
      <c r="T33" s="54">
        <f t="shared" si="16"/>
        <v>138</v>
      </c>
      <c r="U33" s="54">
        <v>-1.5</v>
      </c>
      <c r="V33" s="55">
        <f t="shared" si="10"/>
        <v>-0.25</v>
      </c>
      <c r="W33" s="67">
        <f t="shared" si="11"/>
        <v>-34.5</v>
      </c>
      <c r="X33" s="44"/>
    </row>
    <row r="34" spans="1:24" ht="15" customHeight="1">
      <c r="A34" s="6">
        <v>31</v>
      </c>
      <c r="B34" s="7" t="str">
        <f>IF(Allocation!I33="","",VLOOKUP(A34,Allocation!$A$2:$I$47,3))</f>
        <v/>
      </c>
      <c r="C34" s="6" t="str">
        <f>IF(B34="","",VLOOKUP(A34,Allocation!$A$2:$I$47,4,))</f>
        <v/>
      </c>
      <c r="D34" s="6" t="str">
        <f>IF(B34="","",VLOOKUP(A34,Allocation!$A$2:$I$47,9,))</f>
        <v/>
      </c>
      <c r="F34" s="37">
        <f t="shared" si="17"/>
        <v>75</v>
      </c>
      <c r="G34" s="127" t="s">
        <v>124</v>
      </c>
      <c r="H34" s="127" t="s">
        <v>37</v>
      </c>
      <c r="I34" s="38">
        <f t="shared" si="18"/>
        <v>75</v>
      </c>
      <c r="K34" s="66">
        <v>8</v>
      </c>
      <c r="L34" s="56">
        <f t="shared" si="12"/>
        <v>75</v>
      </c>
      <c r="M34" s="57" t="str">
        <f t="shared" si="12"/>
        <v>Bibiana A</v>
      </c>
      <c r="N34" s="57" t="str">
        <f t="shared" si="12"/>
        <v>Amanda F</v>
      </c>
      <c r="O34" s="56">
        <f t="shared" si="12"/>
        <v>75</v>
      </c>
      <c r="P34" s="58">
        <f t="shared" si="13"/>
        <v>0</v>
      </c>
      <c r="Q34" s="54">
        <v>350</v>
      </c>
      <c r="R34" s="55">
        <f t="shared" si="14"/>
        <v>1</v>
      </c>
      <c r="S34" s="55">
        <f t="shared" si="15"/>
        <v>0</v>
      </c>
      <c r="T34" s="54">
        <f t="shared" si="16"/>
        <v>150</v>
      </c>
      <c r="U34" s="54">
        <v>-2.5</v>
      </c>
      <c r="V34" s="55">
        <f t="shared" si="10"/>
        <v>-0.41666666666666669</v>
      </c>
      <c r="W34" s="67">
        <f t="shared" si="11"/>
        <v>-62.5</v>
      </c>
      <c r="X34" s="44"/>
    </row>
    <row r="35" spans="1:24" ht="15" customHeight="1">
      <c r="A35" s="6">
        <v>32</v>
      </c>
      <c r="B35" s="7" t="str">
        <f>IF(Allocation!I34="","",VLOOKUP(A35,Allocation!$A$2:$I$47,3))</f>
        <v/>
      </c>
      <c r="C35" s="6" t="str">
        <f>IF(B35="","",VLOOKUP(A35,Allocation!$A$2:$I$47,4,))</f>
        <v/>
      </c>
      <c r="D35" s="6" t="str">
        <f>IF(B35="","",VLOOKUP(A35,Allocation!$A$2:$I$47,9,))</f>
        <v/>
      </c>
      <c r="F35" s="37">
        <f t="shared" si="17"/>
        <v>54</v>
      </c>
      <c r="G35" s="127" t="s">
        <v>128</v>
      </c>
      <c r="H35" s="127" t="s">
        <v>52</v>
      </c>
      <c r="I35" s="38">
        <f t="shared" si="18"/>
        <v>85</v>
      </c>
      <c r="K35" s="66">
        <v>9</v>
      </c>
      <c r="L35" s="56">
        <f t="shared" si="12"/>
        <v>54</v>
      </c>
      <c r="M35" s="57" t="str">
        <f t="shared" si="12"/>
        <v>Divina</v>
      </c>
      <c r="N35" s="57" t="str">
        <f t="shared" si="12"/>
        <v>Rachael H</v>
      </c>
      <c r="O35" s="56">
        <f t="shared" si="12"/>
        <v>85</v>
      </c>
      <c r="P35" s="58">
        <f t="shared" si="13"/>
        <v>31</v>
      </c>
      <c r="Q35" s="54">
        <v>330</v>
      </c>
      <c r="R35" s="55">
        <f t="shared" si="14"/>
        <v>0.94285714285714284</v>
      </c>
      <c r="S35" s="55">
        <f t="shared" si="15"/>
        <v>29.228571428571428</v>
      </c>
      <c r="T35" s="54">
        <f t="shared" si="16"/>
        <v>139</v>
      </c>
      <c r="U35" s="54">
        <v>-3.5</v>
      </c>
      <c r="V35" s="55">
        <f t="shared" si="10"/>
        <v>-0.58333333333333337</v>
      </c>
      <c r="W35" s="67">
        <f t="shared" si="11"/>
        <v>-81.083333333333343</v>
      </c>
      <c r="X35" s="44"/>
    </row>
    <row r="36" spans="1:24" ht="15" customHeight="1">
      <c r="A36" s="6">
        <v>33</v>
      </c>
      <c r="B36" s="7" t="str">
        <f>IF(Allocation!I35="","",VLOOKUP(A36,Allocation!$A$2:$I$47,3))</f>
        <v/>
      </c>
      <c r="C36" s="6" t="str">
        <f>IF(B36="","",VLOOKUP(A36,Allocation!$A$2:$I$47,4,))</f>
        <v/>
      </c>
      <c r="D36" s="6" t="str">
        <f>IF(B36="","",VLOOKUP(A36,Allocation!$A$2:$I$47,9,))</f>
        <v/>
      </c>
      <c r="F36" s="37">
        <f t="shared" si="17"/>
        <v>58</v>
      </c>
      <c r="G36" s="127" t="s">
        <v>101</v>
      </c>
      <c r="H36" s="127" t="s">
        <v>122</v>
      </c>
      <c r="I36" s="38">
        <f t="shared" si="18"/>
        <v>65</v>
      </c>
      <c r="K36" s="66">
        <v>10</v>
      </c>
      <c r="L36" s="56">
        <f t="shared" si="12"/>
        <v>58</v>
      </c>
      <c r="M36" s="57" t="str">
        <f t="shared" si="12"/>
        <v>Alice C</v>
      </c>
      <c r="N36" s="57" t="str">
        <f t="shared" si="12"/>
        <v>Amy</v>
      </c>
      <c r="O36" s="56">
        <f t="shared" si="12"/>
        <v>65</v>
      </c>
      <c r="P36" s="58">
        <f t="shared" si="13"/>
        <v>7</v>
      </c>
      <c r="Q36" s="54">
        <v>300</v>
      </c>
      <c r="R36" s="55">
        <f t="shared" si="14"/>
        <v>0.8571428571428571</v>
      </c>
      <c r="S36" s="55">
        <f t="shared" si="15"/>
        <v>6</v>
      </c>
      <c r="T36" s="54">
        <f t="shared" si="16"/>
        <v>123</v>
      </c>
      <c r="U36" s="54">
        <v>-4.5</v>
      </c>
      <c r="V36" s="55">
        <f t="shared" si="10"/>
        <v>-0.75</v>
      </c>
      <c r="W36" s="67">
        <f t="shared" si="11"/>
        <v>-92.25</v>
      </c>
      <c r="X36" s="44"/>
    </row>
    <row r="37" spans="1:24" ht="15" customHeight="1" thickBot="1">
      <c r="A37" s="6">
        <v>34</v>
      </c>
      <c r="B37" s="7" t="str">
        <f>IF(Allocation!I36="","",VLOOKUP(A37,Allocation!$A$2:$I$47,3))</f>
        <v/>
      </c>
      <c r="C37" s="6" t="str">
        <f>IF(B37="","",VLOOKUP(A37,Allocation!$A$2:$I$47,4,))</f>
        <v/>
      </c>
      <c r="D37" s="6" t="str">
        <f>IF(B37="","",VLOOKUP(A37,Allocation!$A$2:$I$47,9,))</f>
        <v/>
      </c>
      <c r="F37" s="34"/>
      <c r="G37" s="128" t="s">
        <v>20</v>
      </c>
      <c r="H37" s="40">
        <f>IF(G37="","",VLOOKUP(G37,$B$4:$C$48,2,))</f>
        <v>62</v>
      </c>
      <c r="I37" s="35"/>
      <c r="K37" s="66"/>
      <c r="L37" s="54">
        <v>3</v>
      </c>
      <c r="M37" s="11"/>
      <c r="N37" s="11"/>
      <c r="O37" s="53"/>
      <c r="P37" s="54">
        <f t="shared" si="13"/>
        <v>-3</v>
      </c>
      <c r="Q37" s="54">
        <v>420</v>
      </c>
      <c r="R37" s="55">
        <f t="shared" si="14"/>
        <v>1.2</v>
      </c>
      <c r="S37" s="55">
        <f t="shared" si="15"/>
        <v>-3.5999999999999996</v>
      </c>
      <c r="T37" s="54">
        <f>H37+7</f>
        <v>69</v>
      </c>
      <c r="U37" s="54">
        <v>-6</v>
      </c>
      <c r="V37" s="55">
        <f t="shared" si="10"/>
        <v>-1</v>
      </c>
      <c r="W37" s="67">
        <f t="shared" si="11"/>
        <v>-69</v>
      </c>
      <c r="X37" s="44"/>
    </row>
    <row r="38" spans="1:24" ht="15" customHeight="1" thickBot="1">
      <c r="A38" s="6">
        <v>35</v>
      </c>
      <c r="B38" s="7" t="str">
        <f>IF(Allocation!I37="","",VLOOKUP(A38,Allocation!$A$2:$I$47,3))</f>
        <v/>
      </c>
      <c r="C38" s="6" t="str">
        <f>IF(B38="","",VLOOKUP(A38,Allocation!$A$2:$I$47,4,))</f>
        <v/>
      </c>
      <c r="D38" s="6" t="str">
        <f>IF(B38="","",VLOOKUP(A38,Allocation!$A$2:$I$47,9,))</f>
        <v/>
      </c>
      <c r="K38" s="68"/>
      <c r="L38" s="69">
        <f>SUM(L27:L37)</f>
        <v>660</v>
      </c>
      <c r="M38" s="70"/>
      <c r="N38" s="70"/>
      <c r="O38" s="69">
        <f>SUM(O27:O37)</f>
        <v>668</v>
      </c>
      <c r="P38" s="71"/>
      <c r="Q38" s="71"/>
      <c r="R38" s="71"/>
      <c r="S38" s="76">
        <f>SUM(S27:S37)</f>
        <v>3.0285714285714267</v>
      </c>
      <c r="T38" s="71"/>
      <c r="U38" s="71"/>
      <c r="V38" s="72"/>
      <c r="W38" s="77">
        <f>SUM(W26:W37)</f>
        <v>-21.583333333333343</v>
      </c>
      <c r="X38" s="44"/>
    </row>
    <row r="39" spans="1:24" ht="15" customHeight="1">
      <c r="A39" s="6">
        <v>36</v>
      </c>
      <c r="B39" s="7" t="str">
        <f>IF(Allocation!I38="","",VLOOKUP(A39,Allocation!$A$2:$I$47,3))</f>
        <v/>
      </c>
      <c r="C39" s="6" t="str">
        <f>IF(B39="","",VLOOKUP(A39,Allocation!$A$2:$I$47,4,))</f>
        <v/>
      </c>
      <c r="D39" s="6" t="str">
        <f>IF(B39="","",VLOOKUP(A39,Allocation!$A$2:$I$47,9,))</f>
        <v/>
      </c>
      <c r="F39" s="42" t="s">
        <v>6</v>
      </c>
      <c r="K39" s="46"/>
      <c r="L39" s="47" t="s">
        <v>7</v>
      </c>
      <c r="M39" s="50"/>
      <c r="N39" s="51"/>
      <c r="O39" s="45">
        <v>87</v>
      </c>
      <c r="P39" s="48"/>
      <c r="Q39" s="48"/>
      <c r="R39" s="48"/>
      <c r="S39" s="52" t="s">
        <v>8</v>
      </c>
      <c r="T39" s="48"/>
      <c r="U39" s="48"/>
      <c r="V39" s="48"/>
      <c r="W39" s="52" t="s">
        <v>9</v>
      </c>
      <c r="X39" s="44"/>
    </row>
    <row r="40" spans="1:24" ht="15" customHeight="1">
      <c r="A40" s="6">
        <v>37</v>
      </c>
      <c r="B40" s="7" t="str">
        <f>IF(Allocation!I39="","",VLOOKUP(A40,Allocation!$A$2:$I$47,3))</f>
        <v/>
      </c>
      <c r="C40" s="6" t="str">
        <f>IF(B40="","",VLOOKUP(A40,Allocation!$A$2:$I$47,4,))</f>
        <v/>
      </c>
      <c r="D40" s="6" t="str">
        <f>IF(B40="","",VLOOKUP(A40,Allocation!$A$2:$I$47,9,))</f>
        <v/>
      </c>
      <c r="G40" s="127" t="s">
        <v>105</v>
      </c>
      <c r="H40" s="36">
        <f>IF(G40="","",VLOOKUP(G40,$B$4:$C$29,2,))</f>
        <v>70</v>
      </c>
      <c r="K40" s="46"/>
      <c r="L40" s="58">
        <f>H40</f>
        <v>70</v>
      </c>
      <c r="M40" s="73" t="str">
        <f>G40</f>
        <v>Mary-Alice</v>
      </c>
      <c r="N40" s="146" t="s">
        <v>10</v>
      </c>
      <c r="O40" s="147"/>
      <c r="P40" s="148"/>
      <c r="Q40" s="74">
        <f>SUM(O27:O36,L27:L36)</f>
        <v>1325</v>
      </c>
      <c r="R40" s="48"/>
      <c r="S40" s="52" t="s">
        <v>11</v>
      </c>
      <c r="T40" s="48"/>
      <c r="U40" s="49"/>
      <c r="V40" s="48"/>
      <c r="W40" s="52" t="s">
        <v>11</v>
      </c>
      <c r="X40" s="44"/>
    </row>
    <row r="41" spans="1:24" ht="15" customHeight="1">
      <c r="A41" s="6">
        <v>38</v>
      </c>
      <c r="B41" s="7" t="str">
        <f>IF(Allocation!I40="","",VLOOKUP(A41,Allocation!$A$2:$I$47,3))</f>
        <v/>
      </c>
      <c r="C41" s="6" t="str">
        <f>IF(B41="","",VLOOKUP(A41,Allocation!$A$2:$I$47,4,))</f>
        <v/>
      </c>
      <c r="D41" s="6" t="str">
        <f>IF(B41="","",VLOOKUP(A41,Allocation!$A$2:$I$47,9,))</f>
        <v/>
      </c>
      <c r="G41" s="127"/>
      <c r="H41" s="36" t="str">
        <f t="shared" ref="H41:H43" si="19">IF(G41="","",VLOOKUP(G41,$B$4:$C$29,2,))</f>
        <v/>
      </c>
      <c r="K41" s="46"/>
      <c r="L41" s="58" t="str">
        <f>H41</f>
        <v/>
      </c>
      <c r="M41" s="73">
        <f>G41</f>
        <v>0</v>
      </c>
      <c r="N41" s="146" t="s">
        <v>12</v>
      </c>
      <c r="O41" s="147"/>
      <c r="P41" s="148"/>
      <c r="Q41" s="74">
        <f>SUM(O27:O36,L27:L36)/20</f>
        <v>66.25</v>
      </c>
      <c r="R41" s="49"/>
      <c r="S41" s="107" t="s">
        <v>84</v>
      </c>
      <c r="T41" s="49"/>
      <c r="U41" s="49"/>
      <c r="V41" s="48"/>
      <c r="W41" s="107" t="s">
        <v>85</v>
      </c>
      <c r="X41" s="44"/>
    </row>
    <row r="42" spans="1:24" ht="15" customHeight="1">
      <c r="A42" s="6">
        <v>39</v>
      </c>
      <c r="B42" s="7" t="str">
        <f>IF(Allocation!I41="","",VLOOKUP(A42,Allocation!$A$2:$I$47,3))</f>
        <v/>
      </c>
      <c r="C42" s="6" t="str">
        <f>IF(B42="","",VLOOKUP(A42,Allocation!$A$2:$I$47,4,))</f>
        <v/>
      </c>
      <c r="D42" s="6" t="str">
        <f>IF(B42="","",VLOOKUP(A42,Allocation!$A$2:$I$47,9,))</f>
        <v/>
      </c>
      <c r="G42" s="127"/>
      <c r="H42" s="36" t="str">
        <f t="shared" si="19"/>
        <v/>
      </c>
      <c r="K42" s="46"/>
      <c r="L42" s="58" t="str">
        <f>H42</f>
        <v/>
      </c>
      <c r="M42" s="73">
        <f>G42</f>
        <v>0</v>
      </c>
      <c r="N42" s="146" t="s">
        <v>13</v>
      </c>
      <c r="O42" s="147"/>
      <c r="P42" s="148"/>
      <c r="Q42" s="74">
        <f>SUM(Q40,T37,T26,650)</f>
        <v>2105</v>
      </c>
      <c r="R42" s="49"/>
      <c r="S42" s="49"/>
      <c r="T42" s="49"/>
      <c r="U42" s="49"/>
      <c r="V42" s="48"/>
      <c r="W42" s="48"/>
      <c r="X42" s="44"/>
    </row>
    <row r="43" spans="1:24" ht="15" customHeight="1">
      <c r="A43" s="6">
        <v>40</v>
      </c>
      <c r="B43" s="7" t="str">
        <f>IF(Allocation!I42="","",VLOOKUP(A43,Allocation!$A$2:$I$47,3))</f>
        <v/>
      </c>
      <c r="C43" s="6" t="str">
        <f>IF(B43="","",VLOOKUP(A43,Allocation!$A$2:$I$47,4,))</f>
        <v/>
      </c>
      <c r="D43" s="6" t="str">
        <f>IF(B43="","",VLOOKUP(A43,Allocation!$A$2:$I$47,9,))</f>
        <v/>
      </c>
      <c r="G43" s="127"/>
      <c r="H43" s="36" t="str">
        <f t="shared" si="19"/>
        <v/>
      </c>
      <c r="K43" s="46"/>
      <c r="L43" s="58" t="str">
        <f>H43</f>
        <v/>
      </c>
      <c r="M43" s="73">
        <f>G43</f>
        <v>0</v>
      </c>
      <c r="N43" s="146" t="s">
        <v>14</v>
      </c>
      <c r="O43" s="147"/>
      <c r="P43" s="148"/>
      <c r="Q43" s="75">
        <f>SUM(Q40,T37,T26,650)/20</f>
        <v>105.25</v>
      </c>
      <c r="R43" s="49"/>
      <c r="S43" s="49"/>
      <c r="T43" s="49"/>
      <c r="U43" s="49"/>
      <c r="V43" s="48"/>
      <c r="W43" s="48"/>
      <c r="X43" s="44"/>
    </row>
    <row r="44" spans="1:24" ht="15" customHeight="1">
      <c r="A44" s="6">
        <v>41</v>
      </c>
      <c r="B44" s="7" t="str">
        <f>IF(Allocation!I43="","",VLOOKUP(A44,Allocation!$A$2:$I$47,3))</f>
        <v/>
      </c>
      <c r="C44" s="6" t="str">
        <f>IF(B44="","",VLOOKUP(A44,Allocation!$A$2:$I$47,4,))</f>
        <v/>
      </c>
      <c r="D44" s="6" t="str">
        <f>IF(B44="","",VLOOKUP(A44,Allocation!$A$2:$I$47,9,))</f>
        <v/>
      </c>
      <c r="X44" s="44"/>
    </row>
    <row r="45" spans="1:24" ht="15" customHeight="1">
      <c r="A45" s="6">
        <v>42</v>
      </c>
      <c r="B45" s="7" t="str">
        <f>IF(Allocation!I44="","",VLOOKUP(A45,Allocation!$A$2:$I$47,3))</f>
        <v/>
      </c>
      <c r="C45" s="6" t="str">
        <f>IF(B45="","",VLOOKUP(A45,Allocation!$A$2:$I$47,4,))</f>
        <v/>
      </c>
      <c r="D45" s="6" t="str">
        <f>IF(B45="","",VLOOKUP(A45,Allocation!$A$2:$I$47,9,))</f>
        <v/>
      </c>
    </row>
    <row r="46" spans="1:24" ht="15" customHeight="1" thickBot="1">
      <c r="A46" s="6">
        <v>43</v>
      </c>
      <c r="B46" s="7" t="str">
        <f>IF(Allocation!I45="","",VLOOKUP(A46,Allocation!$A$2:$I$47,3))</f>
        <v/>
      </c>
      <c r="C46" s="6" t="str">
        <f>IF(B46="","",VLOOKUP(A46,Allocation!$A$2:$I$47,4,))</f>
        <v/>
      </c>
      <c r="D46" s="6" t="str">
        <f>IF(B46="","",VLOOKUP(A46,Allocation!$A$2:$I$47,9,))</f>
        <v/>
      </c>
      <c r="F46" s="43" t="s">
        <v>16</v>
      </c>
    </row>
    <row r="47" spans="1:24" ht="15" customHeight="1">
      <c r="A47" s="6">
        <v>44</v>
      </c>
      <c r="B47" s="7" t="str">
        <f>IF(Allocation!I46="","",VLOOKUP(A47,Allocation!$A$2:$I$47,3))</f>
        <v/>
      </c>
      <c r="C47" s="6" t="str">
        <f>IF(B47="","",VLOOKUP(A47,Allocation!$A$2:$I$47,4,))</f>
        <v/>
      </c>
      <c r="D47" s="6" t="str">
        <f>IF(B47="","",VLOOKUP(A47,Allocation!$A$2:$I$47,9,))</f>
        <v/>
      </c>
      <c r="F47" s="32"/>
      <c r="G47" s="126"/>
      <c r="H47" s="39" t="str">
        <f>IF(G47="","",VLOOKUP(G47,$B$4:$C$48,2,))</f>
        <v/>
      </c>
      <c r="I47" s="33"/>
      <c r="K47" s="59"/>
      <c r="L47" s="60" t="s">
        <v>3</v>
      </c>
      <c r="M47" s="61" t="s">
        <v>4</v>
      </c>
      <c r="N47" s="61" t="s">
        <v>5</v>
      </c>
      <c r="O47" s="60" t="s">
        <v>3</v>
      </c>
      <c r="P47" s="62"/>
      <c r="Q47" s="62"/>
      <c r="R47" s="62"/>
      <c r="S47" s="62"/>
      <c r="T47" s="63" t="e">
        <f>H47+14</f>
        <v>#VALUE!</v>
      </c>
      <c r="U47" s="63">
        <v>6</v>
      </c>
      <c r="V47" s="64">
        <f t="shared" ref="V47:V58" si="20">(U47)/6</f>
        <v>1</v>
      </c>
      <c r="W47" s="65" t="e">
        <f t="shared" ref="W47:W58" si="21">V47*T47</f>
        <v>#VALUE!</v>
      </c>
    </row>
    <row r="48" spans="1:24" ht="15" customHeight="1">
      <c r="A48" s="6">
        <v>45</v>
      </c>
      <c r="B48" s="7" t="str">
        <f>IF(Allocation!I47="","",VLOOKUP(A48,Allocation!$A$2:$I$47,3))</f>
        <v/>
      </c>
      <c r="C48" s="6" t="str">
        <f>IF(B48="","",VLOOKUP(A48,Allocation!$A$2:$I$47,4,))</f>
        <v/>
      </c>
      <c r="D48" s="6" t="str">
        <f>IF(B48="","",VLOOKUP(A48,Allocation!$A$2:$I$47,9,))</f>
        <v/>
      </c>
      <c r="F48" s="37" t="str">
        <f>IF(G48="","",VLOOKUP(G48,$B$4:$C$48,2,))</f>
        <v/>
      </c>
      <c r="G48" s="127"/>
      <c r="H48" s="127"/>
      <c r="I48" s="38" t="str">
        <f>IF(H48="","",VLOOKUP(H48,$B$4:$C$48,2,))</f>
        <v/>
      </c>
      <c r="K48" s="66">
        <v>1</v>
      </c>
      <c r="L48" s="56" t="str">
        <f t="shared" ref="L48:O57" si="22">F48</f>
        <v/>
      </c>
      <c r="M48" s="57">
        <f t="shared" si="22"/>
        <v>0</v>
      </c>
      <c r="N48" s="57">
        <f t="shared" si="22"/>
        <v>0</v>
      </c>
      <c r="O48" s="56" t="str">
        <f t="shared" si="22"/>
        <v/>
      </c>
      <c r="P48" s="58" t="e">
        <f t="shared" ref="P48:P58" si="23">O48-L48</f>
        <v>#VALUE!</v>
      </c>
      <c r="Q48" s="54">
        <v>300</v>
      </c>
      <c r="R48" s="55">
        <f t="shared" ref="R48:R58" si="24">Q48/350</f>
        <v>0.8571428571428571</v>
      </c>
      <c r="S48" s="55" t="e">
        <f t="shared" ref="S48:S58" si="25">P48*R48</f>
        <v>#VALUE!</v>
      </c>
      <c r="T48" s="54" t="e">
        <f t="shared" ref="T48:T57" si="26">L48+O48</f>
        <v>#VALUE!</v>
      </c>
      <c r="U48" s="54">
        <v>4.5</v>
      </c>
      <c r="V48" s="55">
        <f t="shared" si="20"/>
        <v>0.75</v>
      </c>
      <c r="W48" s="67" t="e">
        <f t="shared" si="21"/>
        <v>#VALUE!</v>
      </c>
      <c r="X48" s="44"/>
    </row>
    <row r="49" spans="1:24" ht="15" customHeight="1">
      <c r="A49" s="106"/>
      <c r="B49" s="94"/>
      <c r="C49" s="94"/>
      <c r="D49" s="94"/>
      <c r="F49" s="37" t="str">
        <f t="shared" ref="F49:F57" si="27">IF(G49="","",VLOOKUP(G49,$B$4:$C$48,2,))</f>
        <v/>
      </c>
      <c r="G49" s="127"/>
      <c r="H49" s="127"/>
      <c r="I49" s="38" t="str">
        <f t="shared" ref="I49:I57" si="28">IF(H49="","",VLOOKUP(H49,$B$4:$C$29,2,))</f>
        <v/>
      </c>
      <c r="K49" s="66">
        <v>2</v>
      </c>
      <c r="L49" s="56" t="str">
        <f t="shared" si="22"/>
        <v/>
      </c>
      <c r="M49" s="57">
        <f t="shared" si="22"/>
        <v>0</v>
      </c>
      <c r="N49" s="57">
        <f t="shared" si="22"/>
        <v>0</v>
      </c>
      <c r="O49" s="56" t="str">
        <f t="shared" si="22"/>
        <v/>
      </c>
      <c r="P49" s="58" t="e">
        <f t="shared" si="23"/>
        <v>#VALUE!</v>
      </c>
      <c r="Q49" s="54">
        <v>330</v>
      </c>
      <c r="R49" s="55">
        <f t="shared" si="24"/>
        <v>0.94285714285714284</v>
      </c>
      <c r="S49" s="55" t="e">
        <f t="shared" si="25"/>
        <v>#VALUE!</v>
      </c>
      <c r="T49" s="54" t="e">
        <f t="shared" si="26"/>
        <v>#VALUE!</v>
      </c>
      <c r="U49" s="54">
        <v>3.5</v>
      </c>
      <c r="V49" s="55">
        <f t="shared" si="20"/>
        <v>0.58333333333333337</v>
      </c>
      <c r="W49" s="67" t="e">
        <f t="shared" si="21"/>
        <v>#VALUE!</v>
      </c>
      <c r="X49" s="44"/>
    </row>
    <row r="50" spans="1:24" ht="15" customHeight="1">
      <c r="A50" s="106"/>
      <c r="B50" s="94"/>
      <c r="C50" s="94"/>
      <c r="D50" s="94"/>
      <c r="F50" s="37" t="str">
        <f t="shared" si="27"/>
        <v/>
      </c>
      <c r="G50" s="127"/>
      <c r="H50" s="127"/>
      <c r="I50" s="38" t="str">
        <f t="shared" si="28"/>
        <v/>
      </c>
      <c r="K50" s="66">
        <v>3</v>
      </c>
      <c r="L50" s="56" t="str">
        <f t="shared" si="22"/>
        <v/>
      </c>
      <c r="M50" s="57">
        <f t="shared" si="22"/>
        <v>0</v>
      </c>
      <c r="N50" s="57">
        <f t="shared" si="22"/>
        <v>0</v>
      </c>
      <c r="O50" s="56" t="str">
        <f t="shared" si="22"/>
        <v/>
      </c>
      <c r="P50" s="58" t="e">
        <f t="shared" si="23"/>
        <v>#VALUE!</v>
      </c>
      <c r="Q50" s="54">
        <v>350</v>
      </c>
      <c r="R50" s="55">
        <f t="shared" si="24"/>
        <v>1</v>
      </c>
      <c r="S50" s="55" t="e">
        <f t="shared" si="25"/>
        <v>#VALUE!</v>
      </c>
      <c r="T50" s="54" t="e">
        <f t="shared" si="26"/>
        <v>#VALUE!</v>
      </c>
      <c r="U50" s="54">
        <v>2.5</v>
      </c>
      <c r="V50" s="55">
        <f t="shared" si="20"/>
        <v>0.41666666666666669</v>
      </c>
      <c r="W50" s="67" t="e">
        <f t="shared" si="21"/>
        <v>#VALUE!</v>
      </c>
      <c r="X50" s="44"/>
    </row>
    <row r="51" spans="1:24" ht="15" customHeight="1">
      <c r="A51" s="106"/>
      <c r="B51" s="94"/>
      <c r="C51" s="94"/>
      <c r="D51" s="94"/>
      <c r="F51" s="37" t="str">
        <f t="shared" si="27"/>
        <v/>
      </c>
      <c r="G51" s="127"/>
      <c r="H51" s="127"/>
      <c r="I51" s="38" t="str">
        <f t="shared" si="28"/>
        <v/>
      </c>
      <c r="K51" s="66">
        <v>4</v>
      </c>
      <c r="L51" s="56" t="str">
        <f t="shared" si="22"/>
        <v/>
      </c>
      <c r="M51" s="57">
        <f t="shared" si="22"/>
        <v>0</v>
      </c>
      <c r="N51" s="57">
        <f t="shared" si="22"/>
        <v>0</v>
      </c>
      <c r="O51" s="56" t="str">
        <f t="shared" si="22"/>
        <v/>
      </c>
      <c r="P51" s="58" t="e">
        <f t="shared" si="23"/>
        <v>#VALUE!</v>
      </c>
      <c r="Q51" s="54">
        <v>350</v>
      </c>
      <c r="R51" s="55">
        <f t="shared" si="24"/>
        <v>1</v>
      </c>
      <c r="S51" s="55" t="e">
        <f t="shared" si="25"/>
        <v>#VALUE!</v>
      </c>
      <c r="T51" s="54" t="e">
        <f t="shared" si="26"/>
        <v>#VALUE!</v>
      </c>
      <c r="U51" s="54">
        <v>1.5</v>
      </c>
      <c r="V51" s="55">
        <f t="shared" si="20"/>
        <v>0.25</v>
      </c>
      <c r="W51" s="67" t="e">
        <f t="shared" si="21"/>
        <v>#VALUE!</v>
      </c>
      <c r="X51" s="44"/>
    </row>
    <row r="52" spans="1:24" ht="15" customHeight="1">
      <c r="A52" s="106"/>
      <c r="B52" s="94"/>
      <c r="C52" s="94"/>
      <c r="D52" s="94"/>
      <c r="F52" s="37" t="str">
        <f t="shared" si="27"/>
        <v/>
      </c>
      <c r="G52" s="127"/>
      <c r="H52" s="127"/>
      <c r="I52" s="38" t="str">
        <f t="shared" si="28"/>
        <v/>
      </c>
      <c r="K52" s="66">
        <v>5</v>
      </c>
      <c r="L52" s="56" t="str">
        <f t="shared" si="22"/>
        <v/>
      </c>
      <c r="M52" s="57">
        <f t="shared" si="22"/>
        <v>0</v>
      </c>
      <c r="N52" s="57">
        <f t="shared" si="22"/>
        <v>0</v>
      </c>
      <c r="O52" s="56" t="str">
        <f t="shared" si="22"/>
        <v/>
      </c>
      <c r="P52" s="58" t="e">
        <f t="shared" si="23"/>
        <v>#VALUE!</v>
      </c>
      <c r="Q52" s="54">
        <v>350</v>
      </c>
      <c r="R52" s="55">
        <f t="shared" si="24"/>
        <v>1</v>
      </c>
      <c r="S52" s="55" t="e">
        <f t="shared" si="25"/>
        <v>#VALUE!</v>
      </c>
      <c r="T52" s="54" t="e">
        <f t="shared" si="26"/>
        <v>#VALUE!</v>
      </c>
      <c r="U52" s="54">
        <v>0.5</v>
      </c>
      <c r="V52" s="55">
        <f t="shared" si="20"/>
        <v>8.3333333333333329E-2</v>
      </c>
      <c r="W52" s="67" t="e">
        <f t="shared" si="21"/>
        <v>#VALUE!</v>
      </c>
      <c r="X52" s="44"/>
    </row>
    <row r="53" spans="1:24" ht="15" customHeight="1">
      <c r="A53" s="106"/>
      <c r="B53" s="94"/>
      <c r="C53" s="94"/>
      <c r="D53" s="94"/>
      <c r="F53" s="37" t="str">
        <f t="shared" si="27"/>
        <v/>
      </c>
      <c r="G53" s="127"/>
      <c r="H53" s="127"/>
      <c r="I53" s="38" t="str">
        <f t="shared" si="28"/>
        <v/>
      </c>
      <c r="K53" s="66">
        <v>6</v>
      </c>
      <c r="L53" s="56" t="str">
        <f t="shared" si="22"/>
        <v/>
      </c>
      <c r="M53" s="57">
        <f t="shared" si="22"/>
        <v>0</v>
      </c>
      <c r="N53" s="57">
        <f t="shared" si="22"/>
        <v>0</v>
      </c>
      <c r="O53" s="56" t="str">
        <f t="shared" si="22"/>
        <v/>
      </c>
      <c r="P53" s="58" t="e">
        <f t="shared" si="23"/>
        <v>#VALUE!</v>
      </c>
      <c r="Q53" s="54">
        <v>350</v>
      </c>
      <c r="R53" s="55">
        <f t="shared" si="24"/>
        <v>1</v>
      </c>
      <c r="S53" s="55" t="e">
        <f t="shared" si="25"/>
        <v>#VALUE!</v>
      </c>
      <c r="T53" s="54" t="e">
        <f t="shared" si="26"/>
        <v>#VALUE!</v>
      </c>
      <c r="U53" s="54">
        <v>-0.5</v>
      </c>
      <c r="V53" s="55">
        <f t="shared" si="20"/>
        <v>-8.3333333333333329E-2</v>
      </c>
      <c r="W53" s="67" t="e">
        <f t="shared" si="21"/>
        <v>#VALUE!</v>
      </c>
      <c r="X53" s="44"/>
    </row>
    <row r="54" spans="1:24" ht="15" customHeight="1">
      <c r="A54" s="106"/>
      <c r="B54" s="94"/>
      <c r="C54" s="94"/>
      <c r="D54" s="94"/>
      <c r="F54" s="37" t="str">
        <f t="shared" si="27"/>
        <v/>
      </c>
      <c r="G54" s="127"/>
      <c r="H54" s="127"/>
      <c r="I54" s="38" t="str">
        <f t="shared" si="28"/>
        <v/>
      </c>
      <c r="K54" s="66">
        <v>7</v>
      </c>
      <c r="L54" s="56" t="str">
        <f t="shared" si="22"/>
        <v/>
      </c>
      <c r="M54" s="57">
        <f t="shared" si="22"/>
        <v>0</v>
      </c>
      <c r="N54" s="57">
        <f t="shared" si="22"/>
        <v>0</v>
      </c>
      <c r="O54" s="56" t="str">
        <f t="shared" si="22"/>
        <v/>
      </c>
      <c r="P54" s="58" t="e">
        <f t="shared" si="23"/>
        <v>#VALUE!</v>
      </c>
      <c r="Q54" s="54">
        <v>350</v>
      </c>
      <c r="R54" s="55">
        <f t="shared" si="24"/>
        <v>1</v>
      </c>
      <c r="S54" s="55" t="e">
        <f t="shared" si="25"/>
        <v>#VALUE!</v>
      </c>
      <c r="T54" s="54" t="e">
        <f t="shared" si="26"/>
        <v>#VALUE!</v>
      </c>
      <c r="U54" s="54">
        <v>-1.5</v>
      </c>
      <c r="V54" s="55">
        <f t="shared" si="20"/>
        <v>-0.25</v>
      </c>
      <c r="W54" s="67" t="e">
        <f t="shared" si="21"/>
        <v>#VALUE!</v>
      </c>
      <c r="X54" s="44"/>
    </row>
    <row r="55" spans="1:24" ht="15" customHeight="1">
      <c r="A55" s="106"/>
      <c r="B55" s="94"/>
      <c r="C55" s="94"/>
      <c r="D55" s="94"/>
      <c r="F55" s="37" t="str">
        <f t="shared" si="27"/>
        <v/>
      </c>
      <c r="G55" s="127"/>
      <c r="H55" s="127"/>
      <c r="I55" s="38" t="str">
        <f t="shared" si="28"/>
        <v/>
      </c>
      <c r="K55" s="66">
        <v>8</v>
      </c>
      <c r="L55" s="56" t="str">
        <f t="shared" si="22"/>
        <v/>
      </c>
      <c r="M55" s="57">
        <f t="shared" si="22"/>
        <v>0</v>
      </c>
      <c r="N55" s="57">
        <f t="shared" si="22"/>
        <v>0</v>
      </c>
      <c r="O55" s="56" t="str">
        <f t="shared" si="22"/>
        <v/>
      </c>
      <c r="P55" s="58" t="e">
        <f t="shared" si="23"/>
        <v>#VALUE!</v>
      </c>
      <c r="Q55" s="54">
        <v>350</v>
      </c>
      <c r="R55" s="55">
        <f t="shared" si="24"/>
        <v>1</v>
      </c>
      <c r="S55" s="55" t="e">
        <f t="shared" si="25"/>
        <v>#VALUE!</v>
      </c>
      <c r="T55" s="54" t="e">
        <f t="shared" si="26"/>
        <v>#VALUE!</v>
      </c>
      <c r="U55" s="54">
        <v>-2.5</v>
      </c>
      <c r="V55" s="55">
        <f t="shared" si="20"/>
        <v>-0.41666666666666669</v>
      </c>
      <c r="W55" s="67" t="e">
        <f t="shared" si="21"/>
        <v>#VALUE!</v>
      </c>
      <c r="X55" s="44"/>
    </row>
    <row r="56" spans="1:24" ht="15" customHeight="1">
      <c r="A56" s="106"/>
      <c r="B56" s="94"/>
      <c r="C56" s="94"/>
      <c r="D56" s="94"/>
      <c r="F56" s="37" t="str">
        <f t="shared" si="27"/>
        <v/>
      </c>
      <c r="G56" s="127"/>
      <c r="H56" s="127"/>
      <c r="I56" s="38" t="str">
        <f t="shared" si="28"/>
        <v/>
      </c>
      <c r="K56" s="66">
        <v>9</v>
      </c>
      <c r="L56" s="56" t="str">
        <f t="shared" si="22"/>
        <v/>
      </c>
      <c r="M56" s="57">
        <f t="shared" si="22"/>
        <v>0</v>
      </c>
      <c r="N56" s="57">
        <f t="shared" si="22"/>
        <v>0</v>
      </c>
      <c r="O56" s="56" t="str">
        <f t="shared" si="22"/>
        <v/>
      </c>
      <c r="P56" s="58" t="e">
        <f t="shared" si="23"/>
        <v>#VALUE!</v>
      </c>
      <c r="Q56" s="54">
        <v>330</v>
      </c>
      <c r="R56" s="55">
        <f t="shared" si="24"/>
        <v>0.94285714285714284</v>
      </c>
      <c r="S56" s="55" t="e">
        <f t="shared" si="25"/>
        <v>#VALUE!</v>
      </c>
      <c r="T56" s="54" t="e">
        <f t="shared" si="26"/>
        <v>#VALUE!</v>
      </c>
      <c r="U56" s="54">
        <v>-3.5</v>
      </c>
      <c r="V56" s="55">
        <f t="shared" si="20"/>
        <v>-0.58333333333333337</v>
      </c>
      <c r="W56" s="67" t="e">
        <f t="shared" si="21"/>
        <v>#VALUE!</v>
      </c>
      <c r="X56" s="44"/>
    </row>
    <row r="57" spans="1:24" ht="15" customHeight="1">
      <c r="F57" s="37" t="str">
        <f t="shared" si="27"/>
        <v/>
      </c>
      <c r="G57" s="127"/>
      <c r="H57" s="127"/>
      <c r="I57" s="38" t="str">
        <f t="shared" si="28"/>
        <v/>
      </c>
      <c r="K57" s="66">
        <v>10</v>
      </c>
      <c r="L57" s="56" t="str">
        <f t="shared" si="22"/>
        <v/>
      </c>
      <c r="M57" s="57">
        <f t="shared" si="22"/>
        <v>0</v>
      </c>
      <c r="N57" s="57">
        <f t="shared" si="22"/>
        <v>0</v>
      </c>
      <c r="O57" s="56" t="str">
        <f t="shared" si="22"/>
        <v/>
      </c>
      <c r="P57" s="58" t="e">
        <f t="shared" si="23"/>
        <v>#VALUE!</v>
      </c>
      <c r="Q57" s="54">
        <v>300</v>
      </c>
      <c r="R57" s="55">
        <f t="shared" si="24"/>
        <v>0.8571428571428571</v>
      </c>
      <c r="S57" s="55" t="e">
        <f t="shared" si="25"/>
        <v>#VALUE!</v>
      </c>
      <c r="T57" s="54" t="e">
        <f t="shared" si="26"/>
        <v>#VALUE!</v>
      </c>
      <c r="U57" s="54">
        <v>-4.5</v>
      </c>
      <c r="V57" s="55">
        <f t="shared" si="20"/>
        <v>-0.75</v>
      </c>
      <c r="W57" s="67" t="e">
        <f t="shared" si="21"/>
        <v>#VALUE!</v>
      </c>
      <c r="X57" s="44"/>
    </row>
    <row r="58" spans="1:24" ht="15" customHeight="1" thickBot="1">
      <c r="F58" s="34"/>
      <c r="G58" s="128"/>
      <c r="H58" s="40" t="str">
        <f>IF(G58="","",VLOOKUP(G58,$B$4:$C$48,2,))</f>
        <v/>
      </c>
      <c r="I58" s="35"/>
      <c r="K58" s="66"/>
      <c r="L58" s="54">
        <v>3</v>
      </c>
      <c r="M58" s="11"/>
      <c r="N58" s="11"/>
      <c r="O58" s="53"/>
      <c r="P58" s="54">
        <f t="shared" si="23"/>
        <v>-3</v>
      </c>
      <c r="Q58" s="54">
        <v>420</v>
      </c>
      <c r="R58" s="55">
        <f t="shared" si="24"/>
        <v>1.2</v>
      </c>
      <c r="S58" s="55">
        <f t="shared" si="25"/>
        <v>-3.5999999999999996</v>
      </c>
      <c r="T58" s="54" t="e">
        <f>H58+7</f>
        <v>#VALUE!</v>
      </c>
      <c r="U58" s="54">
        <v>-6</v>
      </c>
      <c r="V58" s="55">
        <f t="shared" si="20"/>
        <v>-1</v>
      </c>
      <c r="W58" s="67" t="e">
        <f t="shared" si="21"/>
        <v>#VALUE!</v>
      </c>
      <c r="X58" s="44"/>
    </row>
    <row r="59" spans="1:24" ht="15" customHeight="1" thickBot="1">
      <c r="K59" s="68"/>
      <c r="L59" s="69">
        <f>SUM(L48:L58)</f>
        <v>3</v>
      </c>
      <c r="M59" s="70"/>
      <c r="N59" s="70"/>
      <c r="O59" s="69">
        <f>SUM(O48:O58)</f>
        <v>0</v>
      </c>
      <c r="P59" s="71"/>
      <c r="Q59" s="71"/>
      <c r="R59" s="71"/>
      <c r="S59" s="76" t="e">
        <f>SUM(S48:S58)</f>
        <v>#VALUE!</v>
      </c>
      <c r="T59" s="71"/>
      <c r="U59" s="71"/>
      <c r="V59" s="72"/>
      <c r="W59" s="77" t="e">
        <f>SUM(W47:W58)</f>
        <v>#VALUE!</v>
      </c>
      <c r="X59" s="44"/>
    </row>
    <row r="60" spans="1:24" ht="15" customHeight="1">
      <c r="F60" s="42" t="s">
        <v>6</v>
      </c>
      <c r="K60" s="46"/>
      <c r="L60" s="47" t="s">
        <v>7</v>
      </c>
      <c r="M60" s="50"/>
      <c r="N60" s="51"/>
      <c r="O60" s="45">
        <v>87</v>
      </c>
      <c r="P60" s="48"/>
      <c r="Q60" s="48"/>
      <c r="R60" s="48"/>
      <c r="S60" s="52" t="s">
        <v>8</v>
      </c>
      <c r="T60" s="48"/>
      <c r="U60" s="48"/>
      <c r="V60" s="48"/>
      <c r="W60" s="52" t="s">
        <v>9</v>
      </c>
      <c r="X60" s="44"/>
    </row>
    <row r="61" spans="1:24" ht="15" customHeight="1">
      <c r="G61" s="127"/>
      <c r="H61" s="36" t="str">
        <f>IF(G61="","",VLOOKUP(G61,$B$4:$C$29,2,))</f>
        <v/>
      </c>
      <c r="K61" s="46"/>
      <c r="L61" s="58" t="str">
        <f>H61</f>
        <v/>
      </c>
      <c r="M61" s="73">
        <f>G61</f>
        <v>0</v>
      </c>
      <c r="N61" s="146" t="s">
        <v>10</v>
      </c>
      <c r="O61" s="147"/>
      <c r="P61" s="148"/>
      <c r="Q61" s="74">
        <f>SUM(O48:O57,L48:L57)</f>
        <v>0</v>
      </c>
      <c r="R61" s="48"/>
      <c r="S61" s="52" t="s">
        <v>11</v>
      </c>
      <c r="T61" s="48"/>
      <c r="U61" s="49"/>
      <c r="V61" s="48"/>
      <c r="W61" s="52" t="s">
        <v>11</v>
      </c>
      <c r="X61" s="44"/>
    </row>
    <row r="62" spans="1:24" ht="15" customHeight="1">
      <c r="G62" s="127"/>
      <c r="H62" s="36" t="str">
        <f t="shared" ref="H62:H64" si="29">IF(G62="","",VLOOKUP(G62,$B$4:$C$29,2,))</f>
        <v/>
      </c>
      <c r="K62" s="46"/>
      <c r="L62" s="58" t="str">
        <f>H62</f>
        <v/>
      </c>
      <c r="M62" s="73">
        <f>G62</f>
        <v>0</v>
      </c>
      <c r="N62" s="146" t="s">
        <v>12</v>
      </c>
      <c r="O62" s="147"/>
      <c r="P62" s="148"/>
      <c r="Q62" s="74">
        <f>SUM(O48:O57,L48:L57)/20</f>
        <v>0</v>
      </c>
      <c r="R62" s="49"/>
      <c r="S62" s="107" t="s">
        <v>84</v>
      </c>
      <c r="T62" s="49"/>
      <c r="U62" s="49"/>
      <c r="V62" s="48"/>
      <c r="W62" s="107" t="s">
        <v>85</v>
      </c>
      <c r="X62" s="44"/>
    </row>
    <row r="63" spans="1:24" ht="15" customHeight="1">
      <c r="G63" s="127"/>
      <c r="H63" s="36" t="str">
        <f t="shared" si="29"/>
        <v/>
      </c>
      <c r="K63" s="46"/>
      <c r="L63" s="58" t="str">
        <f>H63</f>
        <v/>
      </c>
      <c r="M63" s="73">
        <f>G63</f>
        <v>0</v>
      </c>
      <c r="N63" s="146" t="s">
        <v>13</v>
      </c>
      <c r="O63" s="147"/>
      <c r="P63" s="148"/>
      <c r="Q63" s="74" t="e">
        <f>SUM(Q61,T58,T47,650)</f>
        <v>#VALUE!</v>
      </c>
      <c r="R63" s="49"/>
      <c r="S63" s="49"/>
      <c r="T63" s="49"/>
      <c r="U63" s="49"/>
      <c r="V63" s="48"/>
      <c r="W63" s="48"/>
      <c r="X63" s="44"/>
    </row>
    <row r="64" spans="1:24" ht="15" customHeight="1">
      <c r="G64" s="127"/>
      <c r="H64" s="36" t="str">
        <f t="shared" si="29"/>
        <v/>
      </c>
      <c r="K64" s="46"/>
      <c r="L64" s="58" t="str">
        <f>H64</f>
        <v/>
      </c>
      <c r="M64" s="73">
        <f>G64</f>
        <v>0</v>
      </c>
      <c r="N64" s="146" t="s">
        <v>14</v>
      </c>
      <c r="O64" s="147"/>
      <c r="P64" s="148"/>
      <c r="Q64" s="75" t="e">
        <f>SUM(Q61,T58,T47,650)/20</f>
        <v>#VALUE!</v>
      </c>
      <c r="R64" s="49"/>
      <c r="S64" s="49"/>
      <c r="T64" s="49"/>
      <c r="U64" s="49"/>
      <c r="V64" s="48"/>
      <c r="W64" s="48"/>
      <c r="X64" s="44"/>
    </row>
    <row r="65" spans="24:24" ht="15" customHeight="1">
      <c r="X65" s="44"/>
    </row>
    <row r="66" spans="24:24" ht="15" customHeight="1"/>
  </sheetData>
  <mergeCells count="14">
    <mergeCell ref="N22:P22"/>
    <mergeCell ref="G2:P2"/>
    <mergeCell ref="G3:P3"/>
    <mergeCell ref="N19:P19"/>
    <mergeCell ref="N20:P20"/>
    <mergeCell ref="N21:P21"/>
    <mergeCell ref="N63:P63"/>
    <mergeCell ref="N64:P64"/>
    <mergeCell ref="N40:P40"/>
    <mergeCell ref="N41:P41"/>
    <mergeCell ref="N42:P42"/>
    <mergeCell ref="N43:P43"/>
    <mergeCell ref="N61:P61"/>
    <mergeCell ref="N62:P62"/>
  </mergeCells>
  <conditionalFormatting sqref="D4:D56">
    <cfRule type="containsText" dxfId="1" priority="1" operator="containsText" text="sweep">
      <formula>NOT(ISERROR(SEARCH("sweep",D4)))</formula>
    </cfRule>
    <cfRule type="containsText" dxfId="0" priority="2" operator="containsText" text="drum">
      <formula>NOT(ISERROR(SEARCH("drum",D4)))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II93"/>
  <sheetViews>
    <sheetView showGridLines="0" tabSelected="1" zoomScaleNormal="100" workbookViewId="0">
      <selection activeCell="N52" sqref="N52"/>
    </sheetView>
  </sheetViews>
  <sheetFormatPr defaultColWidth="8.85546875" defaultRowHeight="15" customHeight="1"/>
  <cols>
    <col min="1" max="1" width="4.140625" customWidth="1"/>
    <col min="2" max="2" width="8" style="2" customWidth="1"/>
    <col min="3" max="4" width="14.85546875" style="2" customWidth="1"/>
    <col min="5" max="5" width="4.140625" style="2" customWidth="1"/>
    <col min="6" max="6" width="8" style="2" customWidth="1"/>
    <col min="7" max="8" width="14.85546875" style="2" customWidth="1"/>
    <col min="9" max="9" width="4.140625" style="2" customWidth="1"/>
    <col min="10" max="10" width="8" style="2" customWidth="1"/>
    <col min="11" max="12" width="14.85546875" style="2" customWidth="1"/>
    <col min="13" max="13" width="10.85546875" style="2" customWidth="1"/>
    <col min="14" max="243" width="8.85546875" style="2" customWidth="1"/>
  </cols>
  <sheetData>
    <row r="3" spans="2:13" ht="16.5" customHeight="1">
      <c r="B3" s="152" t="str">
        <f>Allocation!F2</f>
        <v>Prem Mix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43"/>
    </row>
    <row r="4" spans="2:13" ht="15.6" customHeight="1" thickBot="1">
      <c r="F4" s="93"/>
      <c r="G4" s="93"/>
      <c r="H4" s="93"/>
      <c r="I4" s="93"/>
      <c r="J4" s="93"/>
      <c r="K4" s="93"/>
      <c r="L4" s="93"/>
    </row>
    <row r="5" spans="2:13" ht="16.5" customHeight="1">
      <c r="B5" s="153" t="str">
        <f>'Prem Mix'!F4</f>
        <v>Heat 1</v>
      </c>
      <c r="C5" s="154"/>
      <c r="D5" s="155"/>
      <c r="E5" s="79"/>
      <c r="F5" s="153" t="str">
        <f>'Prem Mix'!F25</f>
        <v>Heat 2</v>
      </c>
      <c r="G5" s="154"/>
      <c r="H5" s="155"/>
      <c r="I5" s="78"/>
      <c r="J5" s="153" t="str">
        <f>'Prem Mix'!F46</f>
        <v>Final</v>
      </c>
      <c r="K5" s="154"/>
      <c r="L5" s="155"/>
    </row>
    <row r="6" spans="2:13" ht="15.6" customHeight="1">
      <c r="B6" s="115" t="s">
        <v>86</v>
      </c>
      <c r="C6" s="117" t="str">
        <f>IF('Prem Mix'!G5=0,"",'Prem Mix'!G5)</f>
        <v>Helen F</v>
      </c>
      <c r="D6" s="88"/>
      <c r="E6" s="79"/>
      <c r="F6" s="115" t="s">
        <v>86</v>
      </c>
      <c r="G6" s="117" t="str">
        <f>IF('Prem Mix'!G26=0,"",'Prem Mix'!G26)</f>
        <v>Helen F</v>
      </c>
      <c r="H6" s="88"/>
      <c r="I6" s="78"/>
      <c r="J6" s="115" t="s">
        <v>86</v>
      </c>
      <c r="K6" s="117" t="str">
        <f>IF('Prem Mix'!G47=0,"",'Prem Mix'!G47)</f>
        <v/>
      </c>
      <c r="L6" s="88"/>
    </row>
    <row r="7" spans="2:13" ht="15" customHeight="1">
      <c r="B7" s="80">
        <v>1</v>
      </c>
      <c r="C7" s="117" t="str">
        <f>IF('Prem Mix'!G6=0,"",'Prem Mix'!G6)</f>
        <v>Lianna C</v>
      </c>
      <c r="D7" s="92" t="str">
        <f>IF('Prem Mix'!H6=0,"",'Prem Mix'!H6)</f>
        <v>Diego E</v>
      </c>
      <c r="E7" s="79"/>
      <c r="F7" s="80">
        <v>1</v>
      </c>
      <c r="G7" s="117" t="str">
        <f>IF('Prem Mix'!G27=0,"",'Prem Mix'!G27)</f>
        <v>Diego E</v>
      </c>
      <c r="H7" s="92" t="str">
        <f>IF('Prem Mix'!H27=0,"",'Prem Mix'!H27)</f>
        <v>Lianna C</v>
      </c>
      <c r="I7" s="78"/>
      <c r="J7" s="80">
        <v>1</v>
      </c>
      <c r="K7" s="117" t="str">
        <f>IF('Prem Mix'!G48=0,"",'Prem Mix'!G48)</f>
        <v/>
      </c>
      <c r="L7" s="92" t="str">
        <f>IF('Prem Mix'!H48=0,"",'Prem Mix'!H48)</f>
        <v/>
      </c>
    </row>
    <row r="8" spans="2:13" ht="15" customHeight="1">
      <c r="B8" s="80">
        <v>2</v>
      </c>
      <c r="C8" s="117" t="str">
        <f>IF('Prem Mix'!G7=0,"",'Prem Mix'!G7)</f>
        <v>Deb H</v>
      </c>
      <c r="D8" s="92" t="str">
        <f>IF('Prem Mix'!H7=0,"",'Prem Mix'!H7)</f>
        <v>Amanda D</v>
      </c>
      <c r="E8" s="79"/>
      <c r="F8" s="80">
        <v>2</v>
      </c>
      <c r="G8" s="117" t="str">
        <f>IF('Prem Mix'!G28=0,"",'Prem Mix'!G28)</f>
        <v>Deb H</v>
      </c>
      <c r="H8" s="92" t="str">
        <f>IF('Prem Mix'!H28=0,"",'Prem Mix'!H28)</f>
        <v>Amanda D</v>
      </c>
      <c r="I8" s="78"/>
      <c r="J8" s="80">
        <v>2</v>
      </c>
      <c r="K8" s="117" t="str">
        <f>IF('Prem Mix'!G49=0,"",'Prem Mix'!G49)</f>
        <v/>
      </c>
      <c r="L8" s="92" t="str">
        <f>IF('Prem Mix'!H49=0,"",'Prem Mix'!H49)</f>
        <v/>
      </c>
    </row>
    <row r="9" spans="2:13" ht="15" customHeight="1">
      <c r="B9" s="80">
        <v>3</v>
      </c>
      <c r="C9" s="117" t="str">
        <f>IF('Prem Mix'!G8=0,"",'Prem Mix'!G8)</f>
        <v>Andrea M</v>
      </c>
      <c r="D9" s="92" t="str">
        <f>IF('Prem Mix'!H8=0,"",'Prem Mix'!H8)</f>
        <v>Victoria H</v>
      </c>
      <c r="E9" s="79"/>
      <c r="F9" s="80">
        <v>3</v>
      </c>
      <c r="G9" s="117" t="str">
        <f>IF('Prem Mix'!G29=0,"",'Prem Mix'!G29)</f>
        <v>Andrea M</v>
      </c>
      <c r="H9" s="92" t="str">
        <f>IF('Prem Mix'!H29=0,"",'Prem Mix'!H29)</f>
        <v>Victoria H</v>
      </c>
      <c r="I9" s="78"/>
      <c r="J9" s="80">
        <v>3</v>
      </c>
      <c r="K9" s="117" t="str">
        <f>IF('Prem Mix'!G50=0,"",'Prem Mix'!G50)</f>
        <v/>
      </c>
      <c r="L9" s="92" t="str">
        <f>IF('Prem Mix'!H50=0,"",'Prem Mix'!H50)</f>
        <v/>
      </c>
    </row>
    <row r="10" spans="2:13" ht="15" customHeight="1">
      <c r="B10" s="80">
        <v>4</v>
      </c>
      <c r="C10" s="117" t="str">
        <f>IF('Prem Mix'!G9=0,"",'Prem Mix'!G9)</f>
        <v>Andrew B</v>
      </c>
      <c r="D10" s="92" t="str">
        <f>IF('Prem Mix'!H9=0,"",'Prem Mix'!H9)</f>
        <v>Paul J</v>
      </c>
      <c r="E10" s="79"/>
      <c r="F10" s="80">
        <v>4</v>
      </c>
      <c r="G10" s="117" t="str">
        <f>IF('Prem Mix'!G30=0,"",'Prem Mix'!G30)</f>
        <v>Paul J</v>
      </c>
      <c r="H10" s="92" t="str">
        <f>IF('Prem Mix'!H30=0,"",'Prem Mix'!H30)</f>
        <v>Andrew B</v>
      </c>
      <c r="I10" s="78"/>
      <c r="J10" s="80">
        <v>4</v>
      </c>
      <c r="K10" s="117" t="str">
        <f>IF('Prem Mix'!G51=0,"",'Prem Mix'!G51)</f>
        <v/>
      </c>
      <c r="L10" s="92" t="str">
        <f>IF('Prem Mix'!H51=0,"",'Prem Mix'!H51)</f>
        <v/>
      </c>
    </row>
    <row r="11" spans="2:13" ht="15" customHeight="1">
      <c r="B11" s="80">
        <v>5</v>
      </c>
      <c r="C11" s="117" t="str">
        <f>IF('Prem Mix'!G10=0,"",'Prem Mix'!G10)</f>
        <v>Alison M</v>
      </c>
      <c r="D11" s="92" t="str">
        <f>IF('Prem Mix'!H10=0,"",'Prem Mix'!H10)</f>
        <v>Miu</v>
      </c>
      <c r="E11" s="79"/>
      <c r="F11" s="80">
        <v>5</v>
      </c>
      <c r="G11" s="117" t="str">
        <f>IF('Prem Mix'!G31=0,"",'Prem Mix'!G31)</f>
        <v>Alison M</v>
      </c>
      <c r="H11" s="92" t="str">
        <f>IF('Prem Mix'!H31=0,"",'Prem Mix'!H31)</f>
        <v>Rohini</v>
      </c>
      <c r="I11" s="78"/>
      <c r="J11" s="80">
        <v>5</v>
      </c>
      <c r="K11" s="117" t="str">
        <f>IF('Prem Mix'!G52=0,"",'Prem Mix'!G52)</f>
        <v/>
      </c>
      <c r="L11" s="92" t="str">
        <f>IF('Prem Mix'!H52=0,"",'Prem Mix'!H52)</f>
        <v/>
      </c>
    </row>
    <row r="12" spans="2:13" ht="15" customHeight="1">
      <c r="B12" s="80">
        <v>6</v>
      </c>
      <c r="C12" s="117" t="str">
        <f>IF('Prem Mix'!G11=0,"",'Prem Mix'!G11)</f>
        <v>Leah H</v>
      </c>
      <c r="D12" s="92" t="str">
        <f>IF('Prem Mix'!H11=0,"",'Prem Mix'!H11)</f>
        <v>Andrew H</v>
      </c>
      <c r="E12" s="79"/>
      <c r="F12" s="80">
        <v>6</v>
      </c>
      <c r="G12" s="117" t="str">
        <f>IF('Prem Mix'!G32=0,"",'Prem Mix'!G32)</f>
        <v>Andrew H</v>
      </c>
      <c r="H12" s="92" t="str">
        <f>IF('Prem Mix'!H32=0,"",'Prem Mix'!H32)</f>
        <v>Kiran R</v>
      </c>
      <c r="I12" s="78"/>
      <c r="J12" s="80">
        <v>6</v>
      </c>
      <c r="K12" s="117" t="str">
        <f>IF('Prem Mix'!G53=0,"",'Prem Mix'!G53)</f>
        <v/>
      </c>
      <c r="L12" s="92" t="str">
        <f>IF('Prem Mix'!H53=0,"",'Prem Mix'!H53)</f>
        <v/>
      </c>
    </row>
    <row r="13" spans="2:13" ht="15" customHeight="1">
      <c r="B13" s="80">
        <v>7</v>
      </c>
      <c r="C13" s="117" t="str">
        <f>IF('Prem Mix'!G12=0,"",'Prem Mix'!G12)</f>
        <v>Jocelyn K</v>
      </c>
      <c r="D13" s="92" t="str">
        <f>IF('Prem Mix'!H12=0,"",'Prem Mix'!H12)</f>
        <v>Jaid</v>
      </c>
      <c r="E13" s="79"/>
      <c r="F13" s="80">
        <v>7</v>
      </c>
      <c r="G13" s="117" t="str">
        <f>IF('Prem Mix'!G33=0,"",'Prem Mix'!G33)</f>
        <v>Miu</v>
      </c>
      <c r="H13" s="92" t="str">
        <f>IF('Prem Mix'!H33=0,"",'Prem Mix'!H33)</f>
        <v>Jocelyn K</v>
      </c>
      <c r="I13" s="78"/>
      <c r="J13" s="80">
        <v>7</v>
      </c>
      <c r="K13" s="117" t="str">
        <f>IF('Prem Mix'!G54=0,"",'Prem Mix'!G54)</f>
        <v/>
      </c>
      <c r="L13" s="92" t="str">
        <f>IF('Prem Mix'!H54=0,"",'Prem Mix'!H54)</f>
        <v/>
      </c>
    </row>
    <row r="14" spans="2:13" ht="15" customHeight="1">
      <c r="B14" s="80">
        <v>8</v>
      </c>
      <c r="C14" s="117" t="str">
        <f>IF('Prem Mix'!G13=0,"",'Prem Mix'!G13)</f>
        <v>Marc</v>
      </c>
      <c r="D14" s="92" t="str">
        <f>IF('Prem Mix'!H13=0,"",'Prem Mix'!H13)</f>
        <v>Detlef H</v>
      </c>
      <c r="E14" s="79"/>
      <c r="F14" s="80">
        <v>8</v>
      </c>
      <c r="G14" s="117" t="str">
        <f>IF('Prem Mix'!G34=0,"",'Prem Mix'!G34)</f>
        <v>Alice C</v>
      </c>
      <c r="H14" s="92" t="str">
        <f>IF('Prem Mix'!H34=0,"",'Prem Mix'!H34)</f>
        <v>Jaid</v>
      </c>
      <c r="I14" s="78"/>
      <c r="J14" s="80">
        <v>8</v>
      </c>
      <c r="K14" s="117" t="str">
        <f>IF('Prem Mix'!G55=0,"",'Prem Mix'!G55)</f>
        <v/>
      </c>
      <c r="L14" s="92" t="str">
        <f>IF('Prem Mix'!H55=0,"",'Prem Mix'!H55)</f>
        <v/>
      </c>
    </row>
    <row r="15" spans="2:13" ht="15" customHeight="1">
      <c r="B15" s="80">
        <v>9</v>
      </c>
      <c r="C15" s="117" t="str">
        <f>IF('Prem Mix'!G14=0,"",'Prem Mix'!G14)</f>
        <v>Richard V</v>
      </c>
      <c r="D15" s="92" t="str">
        <f>IF('Prem Mix'!H14=0,"",'Prem Mix'!H14)</f>
        <v>Alice C</v>
      </c>
      <c r="E15" s="79"/>
      <c r="F15" s="80">
        <v>9</v>
      </c>
      <c r="G15" s="117" t="str">
        <f>IF('Prem Mix'!G35=0,"",'Prem Mix'!G35)</f>
        <v>Michael H</v>
      </c>
      <c r="H15" s="92" t="str">
        <f>IF('Prem Mix'!H35=0,"",'Prem Mix'!H35)</f>
        <v>Richard V</v>
      </c>
      <c r="I15" s="78"/>
      <c r="J15" s="80">
        <v>9</v>
      </c>
      <c r="K15" s="117" t="str">
        <f>IF('Prem Mix'!G56=0,"",'Prem Mix'!G56)</f>
        <v/>
      </c>
      <c r="L15" s="92" t="str">
        <f>IF('Prem Mix'!H56=0,"",'Prem Mix'!H56)</f>
        <v/>
      </c>
    </row>
    <row r="16" spans="2:13" ht="15" customHeight="1">
      <c r="B16" s="80">
        <v>10</v>
      </c>
      <c r="C16" s="117" t="str">
        <f>IF('Prem Mix'!G15=0,"",'Prem Mix'!G15)</f>
        <v>Simon F</v>
      </c>
      <c r="D16" s="92" t="str">
        <f>IF('Prem Mix'!H15=0,"",'Prem Mix'!H15)</f>
        <v>Divina</v>
      </c>
      <c r="E16" s="79"/>
      <c r="F16" s="80">
        <v>10</v>
      </c>
      <c r="G16" s="117" t="str">
        <f>IF('Prem Mix'!G36=0,"",'Prem Mix'!G36)</f>
        <v>Janet A</v>
      </c>
      <c r="H16" s="92" t="str">
        <f>IF('Prem Mix'!H36=0,"",'Prem Mix'!H36)</f>
        <v>Marc</v>
      </c>
      <c r="I16" s="78"/>
      <c r="J16" s="80">
        <v>10</v>
      </c>
      <c r="K16" s="117" t="str">
        <f>IF('Prem Mix'!G57=0,"",'Prem Mix'!G57)</f>
        <v/>
      </c>
      <c r="L16" s="92" t="str">
        <f>IF('Prem Mix'!H57=0,"",'Prem Mix'!H57)</f>
        <v/>
      </c>
    </row>
    <row r="17" spans="2:12" ht="15.75" customHeight="1">
      <c r="B17" s="116" t="s">
        <v>18</v>
      </c>
      <c r="C17" s="118" t="str">
        <f>IF('Prem Mix'!G16=0,"",'Prem Mix'!G16)</f>
        <v>S-J</v>
      </c>
      <c r="D17" s="89"/>
      <c r="E17" s="79"/>
      <c r="F17" s="116" t="s">
        <v>18</v>
      </c>
      <c r="G17" s="118" t="str">
        <f>IF('Prem Mix'!G37=0,"",'Prem Mix'!G37)</f>
        <v>S-J</v>
      </c>
      <c r="H17" s="89"/>
      <c r="I17" s="78"/>
      <c r="J17" s="116" t="s">
        <v>18</v>
      </c>
      <c r="K17" s="118" t="str">
        <f>IF('Prem Mix'!G58=0,"",'Prem Mix'!G58)</f>
        <v/>
      </c>
      <c r="L17" s="89"/>
    </row>
    <row r="18" spans="2:12" ht="15.6" customHeight="1">
      <c r="B18" s="81"/>
      <c r="C18" s="90"/>
      <c r="D18" s="91"/>
      <c r="E18" s="79"/>
      <c r="F18" s="81"/>
      <c r="G18" s="90"/>
      <c r="H18" s="91"/>
      <c r="I18" s="78"/>
      <c r="J18" s="81"/>
      <c r="K18" s="90"/>
      <c r="L18" s="91"/>
    </row>
    <row r="19" spans="2:12" ht="15" customHeight="1">
      <c r="B19" s="82" t="s">
        <v>6</v>
      </c>
      <c r="C19" s="90"/>
      <c r="D19" s="91"/>
      <c r="E19" s="79"/>
      <c r="F19" s="82" t="s">
        <v>6</v>
      </c>
      <c r="G19" s="90"/>
      <c r="H19" s="91"/>
      <c r="I19" s="78"/>
      <c r="J19" s="82" t="s">
        <v>6</v>
      </c>
      <c r="K19" s="90"/>
      <c r="L19" s="91"/>
    </row>
    <row r="20" spans="2:12" ht="15" customHeight="1">
      <c r="B20" s="83"/>
      <c r="C20" s="117" t="str">
        <f>IF('Prem Mix'!G19=0,"",'Prem Mix'!G19)</f>
        <v>Rohini</v>
      </c>
      <c r="D20" s="88"/>
      <c r="E20" s="79"/>
      <c r="F20" s="83"/>
      <c r="G20" s="117" t="str">
        <f>IF('Prem Mix'!G40=0,"",'Prem Mix'!G40)</f>
        <v>Leah H</v>
      </c>
      <c r="H20" s="88"/>
      <c r="I20" s="78"/>
      <c r="J20" s="83"/>
      <c r="K20" s="117" t="str">
        <f>IF('Prem Mix'!G61=0,"",'Prem Mix'!G61)</f>
        <v/>
      </c>
      <c r="L20" s="88"/>
    </row>
    <row r="21" spans="2:12" ht="15" customHeight="1">
      <c r="B21" s="84"/>
      <c r="C21" s="117" t="str">
        <f>IF('Prem Mix'!G20=0,"",'Prem Mix'!G20)</f>
        <v>Janet A</v>
      </c>
      <c r="D21" s="92"/>
      <c r="E21" s="79"/>
      <c r="F21" s="84"/>
      <c r="G21" s="117" t="str">
        <f>IF('Prem Mix'!G41=0,"",'Prem Mix'!G41)</f>
        <v>Divina</v>
      </c>
      <c r="H21" s="92"/>
      <c r="I21" s="78"/>
      <c r="J21" s="84"/>
      <c r="K21" s="117" t="str">
        <f>IF('Prem Mix'!G62=0,"",'Prem Mix'!G62)</f>
        <v/>
      </c>
      <c r="L21" s="92"/>
    </row>
    <row r="22" spans="2:12" ht="15" customHeight="1">
      <c r="B22" s="84"/>
      <c r="C22" s="117" t="str">
        <f>IF('Prem Mix'!G21=0,"",'Prem Mix'!G21)</f>
        <v>Michael H</v>
      </c>
      <c r="D22" s="92"/>
      <c r="E22" s="79"/>
      <c r="F22" s="84"/>
      <c r="G22" s="117" t="str">
        <f>IF('Prem Mix'!G42=0,"",'Prem Mix'!G42)</f>
        <v>Detlef H</v>
      </c>
      <c r="H22" s="92"/>
      <c r="I22" s="78"/>
      <c r="J22" s="84"/>
      <c r="K22" s="117" t="str">
        <f>IF('Prem Mix'!G63=0,"",'Prem Mix'!G63)</f>
        <v/>
      </c>
      <c r="L22" s="92"/>
    </row>
    <row r="23" spans="2:12" ht="15" customHeight="1">
      <c r="B23" s="84"/>
      <c r="C23" s="117" t="str">
        <f>IF('Prem Mix'!G22=0,"",'Prem Mix'!G22)</f>
        <v>Kiran R</v>
      </c>
      <c r="D23" s="92"/>
      <c r="E23" s="79"/>
      <c r="F23" s="84"/>
      <c r="G23" s="117" t="str">
        <f>IF('Prem Mix'!G43=0,"",'Prem Mix'!G43)</f>
        <v>Simon F</v>
      </c>
      <c r="H23" s="92"/>
      <c r="I23" s="78"/>
      <c r="J23" s="84"/>
      <c r="K23" s="117" t="str">
        <f>IF('Prem Mix'!G64=0,"",'Prem Mix'!G64)</f>
        <v/>
      </c>
      <c r="L23" s="92"/>
    </row>
    <row r="24" spans="2:12" ht="15" customHeight="1" thickBot="1">
      <c r="B24" s="85"/>
      <c r="C24" s="86"/>
      <c r="D24" s="87"/>
      <c r="E24" s="79"/>
      <c r="F24" s="85"/>
      <c r="G24" s="86"/>
      <c r="H24" s="87"/>
      <c r="I24" s="78"/>
      <c r="J24" s="85"/>
      <c r="K24" s="86"/>
      <c r="L24" s="87"/>
    </row>
    <row r="25" spans="2:12" ht="15" customHeight="1">
      <c r="F25" s="93"/>
      <c r="G25" s="93"/>
      <c r="H25" s="93"/>
      <c r="I25" s="93"/>
      <c r="J25" s="93"/>
      <c r="K25" s="93"/>
      <c r="L25" s="93"/>
    </row>
    <row r="26" spans="2:12" ht="15" customHeight="1">
      <c r="B26" s="152" t="str">
        <f>Allocation!G2</f>
        <v>Master Mix</v>
      </c>
      <c r="C26" s="152"/>
      <c r="D26" s="152"/>
      <c r="E26" s="152"/>
      <c r="F26" s="152"/>
      <c r="G26" s="152"/>
      <c r="H26" s="152"/>
      <c r="I26" s="152"/>
      <c r="J26" s="152"/>
      <c r="K26" s="152"/>
      <c r="L26" s="152"/>
    </row>
    <row r="27" spans="2:12" ht="16.5" customHeight="1" thickBot="1">
      <c r="F27" s="93"/>
      <c r="G27" s="93"/>
      <c r="H27" s="93"/>
      <c r="I27" s="93"/>
      <c r="J27" s="93"/>
      <c r="K27" s="93"/>
      <c r="L27" s="93"/>
    </row>
    <row r="28" spans="2:12" ht="15.6" customHeight="1">
      <c r="B28" s="153" t="str">
        <f>'Master Mix'!F4</f>
        <v>Heat 1</v>
      </c>
      <c r="C28" s="154"/>
      <c r="D28" s="155"/>
      <c r="E28" s="79"/>
      <c r="F28" s="153" t="str">
        <f>'Master Mix'!F25</f>
        <v>Heat 2</v>
      </c>
      <c r="G28" s="154"/>
      <c r="H28" s="155"/>
      <c r="I28" s="78"/>
      <c r="J28" s="153" t="str">
        <f>'Master Mix'!F46</f>
        <v>Final</v>
      </c>
      <c r="K28" s="154"/>
      <c r="L28" s="155"/>
    </row>
    <row r="29" spans="2:12" ht="16.5" customHeight="1">
      <c r="B29" s="115" t="s">
        <v>86</v>
      </c>
      <c r="C29" s="117" t="str">
        <f>IF('Master Mix'!G5=0,"",'Master Mix'!G5)</f>
        <v/>
      </c>
      <c r="D29" s="88"/>
      <c r="E29" s="79"/>
      <c r="F29" s="115" t="s">
        <v>86</v>
      </c>
      <c r="G29" s="117" t="str">
        <f>IF('Master Mix'!G26=0,"",'Master Mix'!G26)</f>
        <v/>
      </c>
      <c r="H29" s="88"/>
      <c r="I29" s="78"/>
      <c r="J29" s="115" t="s">
        <v>86</v>
      </c>
      <c r="K29" s="117" t="str">
        <f>IF('Master Mix'!G47=0,"",'Master Mix'!G47)</f>
        <v/>
      </c>
      <c r="L29" s="88"/>
    </row>
    <row r="30" spans="2:12" ht="15.6" customHeight="1">
      <c r="B30" s="80">
        <v>1</v>
      </c>
      <c r="C30" s="117" t="str">
        <f>IF('Master Mix'!G6=0,"",'Master Mix'!G6)</f>
        <v/>
      </c>
      <c r="D30" s="92" t="str">
        <f>IF('Master Mix'!H6=0,"",'Master Mix'!H6)</f>
        <v/>
      </c>
      <c r="E30" s="79"/>
      <c r="F30" s="80">
        <v>1</v>
      </c>
      <c r="G30" s="117" t="str">
        <f>IF('Master Mix'!G27=0,"",'Master Mix'!G27)</f>
        <v/>
      </c>
      <c r="H30" s="92" t="str">
        <f>IF('Master Mix'!H27=0,"",'Master Mix'!H27)</f>
        <v/>
      </c>
      <c r="I30" s="78"/>
      <c r="J30" s="80">
        <v>1</v>
      </c>
      <c r="K30" s="117" t="str">
        <f>IF('Master Mix'!G48=0,"",'Master Mix'!G48)</f>
        <v/>
      </c>
      <c r="L30" s="92" t="str">
        <f>IF('Master Mix'!H48=0,"",'Master Mix'!H48)</f>
        <v/>
      </c>
    </row>
    <row r="31" spans="2:12" ht="15" customHeight="1">
      <c r="B31" s="80">
        <v>2</v>
      </c>
      <c r="C31" s="117" t="str">
        <f>IF('Master Mix'!G7=0,"",'Master Mix'!G7)</f>
        <v/>
      </c>
      <c r="D31" s="92" t="str">
        <f>IF('Master Mix'!H7=0,"",'Master Mix'!H7)</f>
        <v/>
      </c>
      <c r="E31" s="79"/>
      <c r="F31" s="80">
        <v>2</v>
      </c>
      <c r="G31" s="117" t="str">
        <f>IF('Master Mix'!G28=0,"",'Master Mix'!G28)</f>
        <v/>
      </c>
      <c r="H31" s="92" t="str">
        <f>IF('Master Mix'!H28=0,"",'Master Mix'!H28)</f>
        <v/>
      </c>
      <c r="I31" s="78"/>
      <c r="J31" s="80">
        <v>2</v>
      </c>
      <c r="K31" s="117" t="str">
        <f>IF('Master Mix'!G49=0,"",'Master Mix'!G49)</f>
        <v/>
      </c>
      <c r="L31" s="92" t="str">
        <f>IF('Master Mix'!H49=0,"",'Master Mix'!H49)</f>
        <v/>
      </c>
    </row>
    <row r="32" spans="2:12" ht="15" customHeight="1">
      <c r="B32" s="80">
        <v>3</v>
      </c>
      <c r="C32" s="117" t="str">
        <f>IF('Master Mix'!G8=0,"",'Master Mix'!G8)</f>
        <v/>
      </c>
      <c r="D32" s="92" t="str">
        <f>IF('Master Mix'!H8=0,"",'Master Mix'!H8)</f>
        <v/>
      </c>
      <c r="E32" s="79"/>
      <c r="F32" s="80">
        <v>3</v>
      </c>
      <c r="G32" s="117" t="str">
        <f>IF('Master Mix'!G29=0,"",'Master Mix'!G29)</f>
        <v/>
      </c>
      <c r="H32" s="92" t="str">
        <f>IF('Master Mix'!H29=0,"",'Master Mix'!H29)</f>
        <v/>
      </c>
      <c r="I32" s="78"/>
      <c r="J32" s="80">
        <v>3</v>
      </c>
      <c r="K32" s="117" t="str">
        <f>IF('Master Mix'!G50=0,"",'Master Mix'!G50)</f>
        <v/>
      </c>
      <c r="L32" s="92" t="str">
        <f>IF('Master Mix'!H50=0,"",'Master Mix'!H50)</f>
        <v/>
      </c>
    </row>
    <row r="33" spans="2:12" ht="15" customHeight="1">
      <c r="B33" s="80">
        <v>4</v>
      </c>
      <c r="C33" s="117" t="str">
        <f>IF('Master Mix'!G9=0,"",'Master Mix'!G9)</f>
        <v/>
      </c>
      <c r="D33" s="92" t="str">
        <f>IF('Master Mix'!H9=0,"",'Master Mix'!H9)</f>
        <v/>
      </c>
      <c r="E33" s="79"/>
      <c r="F33" s="80">
        <v>4</v>
      </c>
      <c r="G33" s="117" t="str">
        <f>IF('Master Mix'!G30=0,"",'Master Mix'!G30)</f>
        <v/>
      </c>
      <c r="H33" s="92" t="str">
        <f>IF('Master Mix'!H30=0,"",'Master Mix'!H30)</f>
        <v/>
      </c>
      <c r="I33" s="78"/>
      <c r="J33" s="80">
        <v>4</v>
      </c>
      <c r="K33" s="117" t="str">
        <f>IF('Master Mix'!G51=0,"",'Master Mix'!G51)</f>
        <v/>
      </c>
      <c r="L33" s="92" t="str">
        <f>IF('Master Mix'!H51=0,"",'Master Mix'!H51)</f>
        <v/>
      </c>
    </row>
    <row r="34" spans="2:12" ht="15" customHeight="1">
      <c r="B34" s="80">
        <v>5</v>
      </c>
      <c r="C34" s="117" t="str">
        <f>IF('Master Mix'!G10=0,"",'Master Mix'!G10)</f>
        <v/>
      </c>
      <c r="D34" s="92" t="str">
        <f>IF('Master Mix'!H10=0,"",'Master Mix'!H10)</f>
        <v/>
      </c>
      <c r="E34" s="79"/>
      <c r="F34" s="80">
        <v>5</v>
      </c>
      <c r="G34" s="117" t="str">
        <f>IF('Master Mix'!G31=0,"",'Master Mix'!G31)</f>
        <v/>
      </c>
      <c r="H34" s="92" t="str">
        <f>IF('Master Mix'!H31=0,"",'Master Mix'!H31)</f>
        <v/>
      </c>
      <c r="I34" s="78"/>
      <c r="J34" s="80">
        <v>5</v>
      </c>
      <c r="K34" s="117" t="str">
        <f>IF('Master Mix'!G52=0,"",'Master Mix'!G52)</f>
        <v/>
      </c>
      <c r="L34" s="92" t="str">
        <f>IF('Master Mix'!H52=0,"",'Master Mix'!H52)</f>
        <v/>
      </c>
    </row>
    <row r="35" spans="2:12" ht="15" customHeight="1">
      <c r="B35" s="80">
        <v>6</v>
      </c>
      <c r="C35" s="117" t="str">
        <f>IF('Master Mix'!G11=0,"",'Master Mix'!G11)</f>
        <v/>
      </c>
      <c r="D35" s="92" t="str">
        <f>IF('Master Mix'!H11=0,"",'Master Mix'!H11)</f>
        <v/>
      </c>
      <c r="E35" s="79"/>
      <c r="F35" s="80">
        <v>6</v>
      </c>
      <c r="G35" s="117" t="str">
        <f>IF('Master Mix'!G32=0,"",'Master Mix'!G32)</f>
        <v/>
      </c>
      <c r="H35" s="92" t="str">
        <f>IF('Master Mix'!H32=0,"",'Master Mix'!H32)</f>
        <v/>
      </c>
      <c r="I35" s="78"/>
      <c r="J35" s="80">
        <v>6</v>
      </c>
      <c r="K35" s="117" t="str">
        <f>IF('Master Mix'!G53=0,"",'Master Mix'!G53)</f>
        <v/>
      </c>
      <c r="L35" s="92" t="str">
        <f>IF('Master Mix'!H53=0,"",'Master Mix'!H53)</f>
        <v/>
      </c>
    </row>
    <row r="36" spans="2:12" ht="15" customHeight="1">
      <c r="B36" s="80">
        <v>7</v>
      </c>
      <c r="C36" s="117" t="str">
        <f>IF('Master Mix'!G12=0,"",'Master Mix'!G12)</f>
        <v/>
      </c>
      <c r="D36" s="92" t="str">
        <f>IF('Master Mix'!H12=0,"",'Master Mix'!H12)</f>
        <v/>
      </c>
      <c r="E36" s="79"/>
      <c r="F36" s="80">
        <v>7</v>
      </c>
      <c r="G36" s="117" t="str">
        <f>IF('Master Mix'!G33=0,"",'Master Mix'!G33)</f>
        <v/>
      </c>
      <c r="H36" s="92" t="str">
        <f>IF('Master Mix'!H33=0,"",'Master Mix'!H33)</f>
        <v/>
      </c>
      <c r="I36" s="78"/>
      <c r="J36" s="80">
        <v>7</v>
      </c>
      <c r="K36" s="117" t="str">
        <f>IF('Master Mix'!G54=0,"",'Master Mix'!G54)</f>
        <v/>
      </c>
      <c r="L36" s="92" t="str">
        <f>IF('Master Mix'!H54=0,"",'Master Mix'!H54)</f>
        <v/>
      </c>
    </row>
    <row r="37" spans="2:12" ht="15" customHeight="1">
      <c r="B37" s="80">
        <v>8</v>
      </c>
      <c r="C37" s="117" t="str">
        <f>IF('Master Mix'!G13=0,"",'Master Mix'!G13)</f>
        <v/>
      </c>
      <c r="D37" s="92" t="str">
        <f>IF('Master Mix'!H13=0,"",'Master Mix'!H13)</f>
        <v/>
      </c>
      <c r="E37" s="79"/>
      <c r="F37" s="80">
        <v>8</v>
      </c>
      <c r="G37" s="117" t="str">
        <f>IF('Master Mix'!G34=0,"",'Master Mix'!G34)</f>
        <v/>
      </c>
      <c r="H37" s="92" t="str">
        <f>IF('Master Mix'!H34=0,"",'Master Mix'!H34)</f>
        <v/>
      </c>
      <c r="I37" s="78"/>
      <c r="J37" s="80">
        <v>8</v>
      </c>
      <c r="K37" s="117" t="str">
        <f>IF('Master Mix'!G55=0,"",'Master Mix'!G55)</f>
        <v/>
      </c>
      <c r="L37" s="92" t="str">
        <f>IF('Master Mix'!H55=0,"",'Master Mix'!H55)</f>
        <v/>
      </c>
    </row>
    <row r="38" spans="2:12" ht="15" customHeight="1">
      <c r="B38" s="80">
        <v>9</v>
      </c>
      <c r="C38" s="117" t="str">
        <f>IF('Master Mix'!G14=0,"",'Master Mix'!G14)</f>
        <v/>
      </c>
      <c r="D38" s="92" t="str">
        <f>IF('Master Mix'!H14=0,"",'Master Mix'!H14)</f>
        <v/>
      </c>
      <c r="E38" s="79"/>
      <c r="F38" s="80">
        <v>9</v>
      </c>
      <c r="G38" s="117" t="str">
        <f>IF('Master Mix'!G35=0,"",'Master Mix'!G35)</f>
        <v/>
      </c>
      <c r="H38" s="92" t="str">
        <f>IF('Master Mix'!H35=0,"",'Master Mix'!H35)</f>
        <v/>
      </c>
      <c r="I38" s="78"/>
      <c r="J38" s="80">
        <v>9</v>
      </c>
      <c r="K38" s="117" t="str">
        <f>IF('Master Mix'!G56=0,"",'Master Mix'!G56)</f>
        <v/>
      </c>
      <c r="L38" s="92" t="str">
        <f>IF('Master Mix'!H56=0,"",'Master Mix'!H56)</f>
        <v/>
      </c>
    </row>
    <row r="39" spans="2:12" ht="15" customHeight="1">
      <c r="B39" s="80">
        <v>10</v>
      </c>
      <c r="C39" s="117" t="str">
        <f>IF('Master Mix'!G15=0,"",'Master Mix'!G15)</f>
        <v/>
      </c>
      <c r="D39" s="92" t="str">
        <f>IF('Master Mix'!H15=0,"",'Master Mix'!H15)</f>
        <v/>
      </c>
      <c r="E39" s="79"/>
      <c r="F39" s="80">
        <v>10</v>
      </c>
      <c r="G39" s="117" t="str">
        <f>IF('Master Mix'!G36=0,"",'Master Mix'!G36)</f>
        <v/>
      </c>
      <c r="H39" s="92" t="str">
        <f>IF('Master Mix'!H36=0,"",'Master Mix'!H36)</f>
        <v/>
      </c>
      <c r="I39" s="78"/>
      <c r="J39" s="80">
        <v>10</v>
      </c>
      <c r="K39" s="117" t="str">
        <f>IF('Master Mix'!G57=0,"",'Master Mix'!G57)</f>
        <v/>
      </c>
      <c r="L39" s="92" t="str">
        <f>IF('Master Mix'!H57=0,"",'Master Mix'!H57)</f>
        <v/>
      </c>
    </row>
    <row r="40" spans="2:12" ht="15" customHeight="1">
      <c r="B40" s="116" t="s">
        <v>18</v>
      </c>
      <c r="C40" s="118" t="str">
        <f>IF('Master Mix'!G16=0,"",'Master Mix'!G16)</f>
        <v/>
      </c>
      <c r="D40" s="89"/>
      <c r="E40" s="79"/>
      <c r="F40" s="116" t="s">
        <v>18</v>
      </c>
      <c r="G40" s="118" t="str">
        <f>IF('Master Mix'!G37=0,"",'Master Mix'!G37)</f>
        <v/>
      </c>
      <c r="H40" s="89"/>
      <c r="I40" s="78"/>
      <c r="J40" s="116" t="s">
        <v>18</v>
      </c>
      <c r="K40" s="118" t="str">
        <f>IF('Master Mix'!G58=0,"",'Master Mix'!G58)</f>
        <v/>
      </c>
      <c r="L40" s="89"/>
    </row>
    <row r="41" spans="2:12" ht="15.75" customHeight="1">
      <c r="B41" s="81"/>
      <c r="C41" s="90"/>
      <c r="D41" s="91"/>
      <c r="E41" s="79"/>
      <c r="F41" s="81"/>
      <c r="G41" s="90"/>
      <c r="H41" s="91"/>
      <c r="I41" s="78"/>
      <c r="J41" s="81"/>
      <c r="K41" s="90"/>
      <c r="L41" s="91"/>
    </row>
    <row r="42" spans="2:12" ht="15.6" customHeight="1">
      <c r="B42" s="82" t="s">
        <v>6</v>
      </c>
      <c r="C42" s="90"/>
      <c r="D42" s="91"/>
      <c r="E42" s="79"/>
      <c r="F42" s="82" t="s">
        <v>6</v>
      </c>
      <c r="G42" s="90"/>
      <c r="H42" s="91"/>
      <c r="I42" s="78"/>
      <c r="J42" s="82" t="s">
        <v>6</v>
      </c>
      <c r="K42" s="90"/>
      <c r="L42" s="91"/>
    </row>
    <row r="43" spans="2:12" ht="15" customHeight="1">
      <c r="B43" s="83"/>
      <c r="C43" s="117" t="str">
        <f>IF('Master Mix'!G19=0,"",'Master Mix'!G19)</f>
        <v/>
      </c>
      <c r="D43" s="88"/>
      <c r="E43" s="79"/>
      <c r="F43" s="83"/>
      <c r="G43" s="117" t="str">
        <f>IF('Master Mix'!G40=0,"",'Master Mix'!G40)</f>
        <v/>
      </c>
      <c r="H43" s="88"/>
      <c r="I43" s="78"/>
      <c r="J43" s="83"/>
      <c r="K43" s="117" t="str">
        <f>IF('Master Mix'!G61=0,"",'Master Mix'!G61)</f>
        <v/>
      </c>
      <c r="L43" s="88"/>
    </row>
    <row r="44" spans="2:12" ht="15" customHeight="1">
      <c r="B44" s="84"/>
      <c r="C44" s="117" t="str">
        <f>IF('Master Mix'!G20=0,"",'Master Mix'!G20)</f>
        <v/>
      </c>
      <c r="D44" s="92"/>
      <c r="E44" s="79"/>
      <c r="F44" s="84"/>
      <c r="G44" s="117" t="str">
        <f>IF('Master Mix'!G41=0,"",'Master Mix'!G41)</f>
        <v/>
      </c>
      <c r="H44" s="92"/>
      <c r="I44" s="78"/>
      <c r="J44" s="84"/>
      <c r="K44" s="117" t="str">
        <f>IF('Master Mix'!G62=0,"",'Master Mix'!G62)</f>
        <v/>
      </c>
      <c r="L44" s="92"/>
    </row>
    <row r="45" spans="2:12" ht="15" customHeight="1">
      <c r="B45" s="84"/>
      <c r="C45" s="117" t="str">
        <f>IF('Master Mix'!G21=0,"",'Master Mix'!G21)</f>
        <v/>
      </c>
      <c r="D45" s="92"/>
      <c r="E45" s="79"/>
      <c r="F45" s="84"/>
      <c r="G45" s="117" t="str">
        <f>IF('Master Mix'!G42=0,"",'Master Mix'!G42)</f>
        <v/>
      </c>
      <c r="H45" s="92"/>
      <c r="I45" s="78"/>
      <c r="J45" s="84"/>
      <c r="K45" s="117" t="str">
        <f>IF('Master Mix'!G63=0,"",'Master Mix'!G63)</f>
        <v/>
      </c>
      <c r="L45" s="92"/>
    </row>
    <row r="46" spans="2:12" ht="15" customHeight="1">
      <c r="B46" s="84"/>
      <c r="C46" s="117" t="str">
        <f>IF('Master Mix'!G22=0,"",'Master Mix'!G22)</f>
        <v/>
      </c>
      <c r="D46" s="92"/>
      <c r="E46" s="79"/>
      <c r="F46" s="84"/>
      <c r="G46" s="117" t="str">
        <f>IF('Master Mix'!G43=0,"",'Master Mix'!G43)</f>
        <v/>
      </c>
      <c r="H46" s="92"/>
      <c r="I46" s="78"/>
      <c r="J46" s="84"/>
      <c r="K46" s="117" t="str">
        <f>IF('Master Mix'!G64=0,"",'Master Mix'!G64)</f>
        <v/>
      </c>
      <c r="L46" s="92"/>
    </row>
    <row r="47" spans="2:12" ht="15" customHeight="1" thickBot="1">
      <c r="B47" s="85"/>
      <c r="C47" s="86"/>
      <c r="D47" s="87"/>
      <c r="E47" s="79"/>
      <c r="F47" s="85"/>
      <c r="G47" s="86"/>
      <c r="H47" s="87"/>
      <c r="I47" s="78"/>
      <c r="J47" s="85"/>
      <c r="K47" s="86"/>
      <c r="L47" s="87"/>
    </row>
    <row r="49" spans="2:12" ht="15" customHeight="1">
      <c r="B49" s="152" t="str">
        <f>Allocation!H2</f>
        <v>Prem Open</v>
      </c>
      <c r="C49" s="152"/>
      <c r="D49" s="152"/>
      <c r="E49" s="152"/>
      <c r="F49" s="152"/>
      <c r="G49" s="152"/>
      <c r="H49" s="152"/>
      <c r="I49" s="152"/>
      <c r="J49" s="152"/>
      <c r="K49" s="152"/>
      <c r="L49" s="152"/>
    </row>
    <row r="50" spans="2:12" ht="15" customHeight="1" thickBot="1">
      <c r="F50" s="93"/>
      <c r="G50" s="93"/>
      <c r="H50" s="93"/>
      <c r="I50" s="93"/>
      <c r="J50" s="93"/>
      <c r="K50" s="93"/>
      <c r="L50" s="93"/>
    </row>
    <row r="51" spans="2:12" ht="15" customHeight="1">
      <c r="B51" s="153" t="str">
        <f>'Prem Open'!F4</f>
        <v>Heat 1</v>
      </c>
      <c r="C51" s="154"/>
      <c r="D51" s="155"/>
      <c r="E51" s="79"/>
      <c r="F51" s="153" t="str">
        <f>'Prem Open'!F25</f>
        <v>Heat 2</v>
      </c>
      <c r="G51" s="154"/>
      <c r="H51" s="155"/>
      <c r="I51" s="78"/>
      <c r="J51" s="153" t="str">
        <f>'Prem Open'!F46</f>
        <v>Final</v>
      </c>
      <c r="K51" s="154"/>
      <c r="L51" s="155"/>
    </row>
    <row r="52" spans="2:12" ht="15" customHeight="1">
      <c r="B52" s="115" t="s">
        <v>86</v>
      </c>
      <c r="C52" s="117" t="str">
        <f>IF('Prem Open'!G5=0,"",'Prem Open'!G5)</f>
        <v>Sue T</v>
      </c>
      <c r="D52" s="88"/>
      <c r="E52" s="79"/>
      <c r="F52" s="115" t="s">
        <v>86</v>
      </c>
      <c r="G52" s="117" t="str">
        <f>IF('Prem Open'!G26=0,"",'Prem Open'!G26)</f>
        <v>Sue T</v>
      </c>
      <c r="H52" s="88"/>
      <c r="I52" s="78"/>
      <c r="J52" s="115" t="s">
        <v>86</v>
      </c>
      <c r="K52" s="117" t="str">
        <f>IF('Prem Open'!G47=0,"",'Prem Open'!G47)</f>
        <v/>
      </c>
      <c r="L52" s="88"/>
    </row>
    <row r="53" spans="2:12" ht="15" customHeight="1">
      <c r="B53" s="80">
        <v>1</v>
      </c>
      <c r="C53" s="117" t="str">
        <f>IF('Prem Open'!G6=0,"",'Prem Open'!G6)</f>
        <v>Diego E</v>
      </c>
      <c r="D53" s="92" t="str">
        <f>IF('Prem Open'!H6=0,"",'Prem Open'!H6)</f>
        <v>Andrew B</v>
      </c>
      <c r="E53" s="79"/>
      <c r="F53" s="80">
        <v>1</v>
      </c>
      <c r="G53" s="117" t="str">
        <f>IF('Prem Open'!G27=0,"",'Prem Open'!G27)</f>
        <v>Andrew B</v>
      </c>
      <c r="H53" s="92" t="str">
        <f>IF('Prem Open'!H27=0,"",'Prem Open'!H27)</f>
        <v>Diego E</v>
      </c>
      <c r="I53" s="78"/>
      <c r="J53" s="80">
        <v>1</v>
      </c>
      <c r="K53" s="117" t="str">
        <f>IF('Prem Open'!G48=0,"",'Prem Open'!G48)</f>
        <v/>
      </c>
      <c r="L53" s="92" t="str">
        <f>IF('Prem Open'!H48=0,"",'Prem Open'!H48)</f>
        <v/>
      </c>
    </row>
    <row r="54" spans="2:12" ht="15" customHeight="1">
      <c r="B54" s="80">
        <v>2</v>
      </c>
      <c r="C54" s="117" t="str">
        <f>IF('Prem Open'!G7=0,"",'Prem Open'!G7)</f>
        <v>Paul J</v>
      </c>
      <c r="D54" s="92" t="str">
        <f>IF('Prem Open'!H7=0,"",'Prem Open'!H7)</f>
        <v>Andrea M</v>
      </c>
      <c r="E54" s="79"/>
      <c r="F54" s="80">
        <v>2</v>
      </c>
      <c r="G54" s="117" t="str">
        <f>IF('Prem Open'!G28=0,"",'Prem Open'!G28)</f>
        <v>Andrea M</v>
      </c>
      <c r="H54" s="92" t="str">
        <f>IF('Prem Open'!H28=0,"",'Prem Open'!H28)</f>
        <v>Paul J</v>
      </c>
      <c r="I54" s="78"/>
      <c r="J54" s="80">
        <v>2</v>
      </c>
      <c r="K54" s="117" t="str">
        <f>IF('Prem Open'!G49=0,"",'Prem Open'!G49)</f>
        <v/>
      </c>
      <c r="L54" s="92" t="str">
        <f>IF('Prem Open'!H49=0,"",'Prem Open'!H49)</f>
        <v/>
      </c>
    </row>
    <row r="55" spans="2:12" ht="15" customHeight="1">
      <c r="B55" s="80">
        <v>3</v>
      </c>
      <c r="C55" s="117" t="str">
        <f>IF('Prem Open'!G8=0,"",'Prem Open'!G8)</f>
        <v>Amanda F</v>
      </c>
      <c r="D55" s="92" t="str">
        <f>IF('Prem Open'!H8=0,"",'Prem Open'!H8)</f>
        <v>Andrew H</v>
      </c>
      <c r="E55" s="79"/>
      <c r="F55" s="80">
        <v>3</v>
      </c>
      <c r="G55" s="117" t="str">
        <f>IF('Prem Open'!G29=0,"",'Prem Open'!G29)</f>
        <v>Amanda F</v>
      </c>
      <c r="H55" s="92" t="str">
        <f>IF('Prem Open'!H29=0,"",'Prem Open'!H29)</f>
        <v>Andrew H</v>
      </c>
      <c r="I55" s="78"/>
      <c r="J55" s="80">
        <v>3</v>
      </c>
      <c r="K55" s="117" t="str">
        <f>IF('Prem Open'!G50=0,"",'Prem Open'!G50)</f>
        <v/>
      </c>
      <c r="L55" s="92" t="str">
        <f>IF('Prem Open'!H50=0,"",'Prem Open'!H50)</f>
        <v/>
      </c>
    </row>
    <row r="56" spans="2:12" ht="15" customHeight="1">
      <c r="B56" s="80">
        <v>4</v>
      </c>
      <c r="C56" s="117" t="str">
        <f>IF('Prem Open'!G9=0,"",'Prem Open'!G9)</f>
        <v>Kiran R</v>
      </c>
      <c r="D56" s="92" t="str">
        <f>IF('Prem Open'!H9=0,"",'Prem Open'!H9)</f>
        <v>Detlef H</v>
      </c>
      <c r="E56" s="79"/>
      <c r="F56" s="80">
        <v>4</v>
      </c>
      <c r="G56" s="117" t="str">
        <f>IF('Prem Open'!G30=0,"",'Prem Open'!G30)</f>
        <v>Detlef H</v>
      </c>
      <c r="H56" s="92" t="str">
        <f>IF('Prem Open'!H30=0,"",'Prem Open'!H30)</f>
        <v>Kiran R</v>
      </c>
      <c r="I56" s="78"/>
      <c r="J56" s="80">
        <v>4</v>
      </c>
      <c r="K56" s="117" t="str">
        <f>IF('Prem Open'!G51=0,"",'Prem Open'!G51)</f>
        <v/>
      </c>
      <c r="L56" s="92" t="str">
        <f>IF('Prem Open'!H51=0,"",'Prem Open'!H51)</f>
        <v/>
      </c>
    </row>
    <row r="57" spans="2:12" ht="15" customHeight="1">
      <c r="B57" s="80">
        <v>5</v>
      </c>
      <c r="C57" s="117" t="str">
        <f>IF('Prem Open'!G10=0,"",'Prem Open'!G10)</f>
        <v>Anne-Marie</v>
      </c>
      <c r="D57" s="92" t="str">
        <f>IF('Prem Open'!H10=0,"",'Prem Open'!H10)</f>
        <v>Mary-Alice</v>
      </c>
      <c r="E57" s="79"/>
      <c r="F57" s="80">
        <v>5</v>
      </c>
      <c r="G57" s="117" t="str">
        <f>IF('Prem Open'!G31=0,"",'Prem Open'!G31)</f>
        <v>Anne-Marie</v>
      </c>
      <c r="H57" s="92" t="str">
        <f>IF('Prem Open'!H31=0,"",'Prem Open'!H31)</f>
        <v>Mary-Alice</v>
      </c>
      <c r="I57" s="78"/>
      <c r="J57" s="80">
        <v>5</v>
      </c>
      <c r="K57" s="117" t="str">
        <f>IF('Prem Open'!G52=0,"",'Prem Open'!G52)</f>
        <v/>
      </c>
      <c r="L57" s="92" t="str">
        <f>IF('Prem Open'!H52=0,"",'Prem Open'!H52)</f>
        <v/>
      </c>
    </row>
    <row r="58" spans="2:12" ht="15" customHeight="1">
      <c r="B58" s="80">
        <v>6</v>
      </c>
      <c r="C58" s="117" t="str">
        <f>IF('Prem Open'!G11=0,"",'Prem Open'!G11)</f>
        <v>Jaid</v>
      </c>
      <c r="D58" s="92" t="str">
        <f>IF('Prem Open'!H11=0,"",'Prem Open'!H11)</f>
        <v>Rachael H</v>
      </c>
      <c r="E58" s="79"/>
      <c r="F58" s="80">
        <v>6</v>
      </c>
      <c r="G58" s="117" t="str">
        <f>IF('Prem Open'!G32=0,"",'Prem Open'!G32)</f>
        <v>Rachael H</v>
      </c>
      <c r="H58" s="92" t="str">
        <f>IF('Prem Open'!H32=0,"",'Prem Open'!H32)</f>
        <v>Jaid</v>
      </c>
      <c r="I58" s="78"/>
      <c r="J58" s="80">
        <v>6</v>
      </c>
      <c r="K58" s="117" t="str">
        <f>IF('Prem Open'!G53=0,"",'Prem Open'!G53)</f>
        <v/>
      </c>
      <c r="L58" s="92" t="str">
        <f>IF('Prem Open'!H53=0,"",'Prem Open'!H53)</f>
        <v/>
      </c>
    </row>
    <row r="59" spans="2:12" ht="15" customHeight="1">
      <c r="B59" s="80">
        <v>7</v>
      </c>
      <c r="C59" s="117" t="str">
        <f>IF('Prem Open'!G12=0,"",'Prem Open'!G12)</f>
        <v>Alice S</v>
      </c>
      <c r="D59" s="92" t="str">
        <f>IF('Prem Open'!H12=0,"",'Prem Open'!H12)</f>
        <v>Liz Mc</v>
      </c>
      <c r="E59" s="79"/>
      <c r="F59" s="80">
        <v>7</v>
      </c>
      <c r="G59" s="117" t="str">
        <f>IF('Prem Open'!G33=0,"",'Prem Open'!G33)</f>
        <v>Liz Mc</v>
      </c>
      <c r="H59" s="92" t="str">
        <f>IF('Prem Open'!H33=0,"",'Prem Open'!H33)</f>
        <v>Alice S</v>
      </c>
      <c r="I59" s="78"/>
      <c r="J59" s="80">
        <v>7</v>
      </c>
      <c r="K59" s="117" t="str">
        <f>IF('Prem Open'!G54=0,"",'Prem Open'!G54)</f>
        <v/>
      </c>
      <c r="L59" s="92" t="str">
        <f>IF('Prem Open'!H54=0,"",'Prem Open'!H54)</f>
        <v/>
      </c>
    </row>
    <row r="60" spans="2:12" ht="15" customHeight="1">
      <c r="B60" s="80">
        <v>8</v>
      </c>
      <c r="C60" s="117" t="str">
        <f>IF('Prem Open'!G13=0,"",'Prem Open'!G13)</f>
        <v>Bibiana A</v>
      </c>
      <c r="D60" s="92" t="str">
        <f>IF('Prem Open'!H13=0,"",'Prem Open'!H13)</f>
        <v>Marc</v>
      </c>
      <c r="E60" s="79"/>
      <c r="F60" s="80">
        <v>8</v>
      </c>
      <c r="G60" s="117" t="str">
        <f>IF('Prem Open'!G34=0,"",'Prem Open'!G34)</f>
        <v>Marc</v>
      </c>
      <c r="H60" s="92" t="str">
        <f>IF('Prem Open'!H34=0,"",'Prem Open'!H34)</f>
        <v>Bibiana A</v>
      </c>
      <c r="I60" s="78"/>
      <c r="J60" s="80">
        <v>8</v>
      </c>
      <c r="K60" s="117" t="str">
        <f>IF('Prem Open'!G55=0,"",'Prem Open'!G55)</f>
        <v/>
      </c>
      <c r="L60" s="92" t="str">
        <f>IF('Prem Open'!H55=0,"",'Prem Open'!H55)</f>
        <v/>
      </c>
    </row>
    <row r="61" spans="2:12" ht="15" customHeight="1">
      <c r="B61" s="80">
        <v>9</v>
      </c>
      <c r="C61" s="117" t="str">
        <f>IF('Prem Open'!G14=0,"",'Prem Open'!G14)</f>
        <v>Michael H</v>
      </c>
      <c r="D61" s="92" t="str">
        <f>IF('Prem Open'!H14=0,"",'Prem Open'!H14)</f>
        <v>Richard V</v>
      </c>
      <c r="E61" s="79"/>
      <c r="F61" s="80">
        <v>9</v>
      </c>
      <c r="G61" s="117" t="str">
        <f>IF('Prem Open'!G35=0,"",'Prem Open'!G35)</f>
        <v>Richard V</v>
      </c>
      <c r="H61" s="92" t="str">
        <f>IF('Prem Open'!H35=0,"",'Prem Open'!H35)</f>
        <v>Michael H</v>
      </c>
      <c r="I61" s="78"/>
      <c r="J61" s="80">
        <v>9</v>
      </c>
      <c r="K61" s="117" t="str">
        <f>IF('Prem Open'!G56=0,"",'Prem Open'!G56)</f>
        <v/>
      </c>
      <c r="L61" s="92" t="str">
        <f>IF('Prem Open'!H56=0,"",'Prem Open'!H56)</f>
        <v/>
      </c>
    </row>
    <row r="62" spans="2:12" ht="15" customHeight="1">
      <c r="B62" s="80">
        <v>10</v>
      </c>
      <c r="C62" s="117" t="str">
        <f>IF('Prem Open'!G15=0,"",'Prem Open'!G15)</f>
        <v>Amy</v>
      </c>
      <c r="D62" s="92" t="str">
        <f>IF('Prem Open'!H15=0,"",'Prem Open'!H15)</f>
        <v>Simon F</v>
      </c>
      <c r="E62" s="79"/>
      <c r="F62" s="80">
        <v>10</v>
      </c>
      <c r="G62" s="117" t="str">
        <f>IF('Prem Open'!G36=0,"",'Prem Open'!G36)</f>
        <v>Simon F</v>
      </c>
      <c r="H62" s="92" t="str">
        <f>IF('Prem Open'!H36=0,"",'Prem Open'!H36)</f>
        <v>Amy</v>
      </c>
      <c r="I62" s="78"/>
      <c r="J62" s="80">
        <v>10</v>
      </c>
      <c r="K62" s="117" t="str">
        <f>IF('Prem Open'!G57=0,"",'Prem Open'!G57)</f>
        <v/>
      </c>
      <c r="L62" s="92" t="str">
        <f>IF('Prem Open'!H57=0,"",'Prem Open'!H57)</f>
        <v/>
      </c>
    </row>
    <row r="63" spans="2:12" ht="15" customHeight="1">
      <c r="B63" s="116" t="s">
        <v>18</v>
      </c>
      <c r="C63" s="118" t="str">
        <f>IF('Prem Open'!G16=0,"",'Prem Open'!G16)</f>
        <v>Petr V</v>
      </c>
      <c r="D63" s="89"/>
      <c r="E63" s="79"/>
      <c r="F63" s="116" t="s">
        <v>18</v>
      </c>
      <c r="G63" s="118" t="str">
        <f>IF('Prem Open'!G37=0,"",'Prem Open'!G37)</f>
        <v>Petr V</v>
      </c>
      <c r="H63" s="89"/>
      <c r="I63" s="78"/>
      <c r="J63" s="116" t="s">
        <v>18</v>
      </c>
      <c r="K63" s="118" t="str">
        <f>IF('Prem Open'!G58=0,"",'Prem Open'!G58)</f>
        <v/>
      </c>
      <c r="L63" s="89"/>
    </row>
    <row r="64" spans="2:12" ht="15" customHeight="1">
      <c r="B64" s="81"/>
      <c r="C64" s="90"/>
      <c r="D64" s="91"/>
      <c r="E64" s="79"/>
      <c r="F64" s="81"/>
      <c r="G64" s="90"/>
      <c r="H64" s="91"/>
      <c r="I64" s="78"/>
      <c r="J64" s="81"/>
      <c r="K64" s="90"/>
      <c r="L64" s="91"/>
    </row>
    <row r="65" spans="2:12" ht="15" customHeight="1">
      <c r="B65" s="82" t="s">
        <v>6</v>
      </c>
      <c r="C65" s="90"/>
      <c r="D65" s="91"/>
      <c r="E65" s="79"/>
      <c r="F65" s="82" t="s">
        <v>6</v>
      </c>
      <c r="G65" s="90"/>
      <c r="H65" s="91"/>
      <c r="I65" s="78"/>
      <c r="J65" s="82" t="s">
        <v>6</v>
      </c>
      <c r="K65" s="90"/>
      <c r="L65" s="91"/>
    </row>
    <row r="66" spans="2:12" ht="15" customHeight="1">
      <c r="B66" s="83"/>
      <c r="C66" s="117" t="str">
        <f>IF('Prem Open'!G19=0,"",'Prem Open'!G19)</f>
        <v>Amanda D</v>
      </c>
      <c r="D66" s="88"/>
      <c r="E66" s="79"/>
      <c r="F66" s="83"/>
      <c r="G66" s="117" t="str">
        <f>IF('Prem Open'!G40=0,"",'Prem Open'!G40)</f>
        <v>Amanda D</v>
      </c>
      <c r="H66" s="88"/>
      <c r="I66" s="78"/>
      <c r="J66" s="83"/>
      <c r="K66" s="117" t="str">
        <f>IF('Prem Open'!G61=0,"",'Prem Open'!G61)</f>
        <v/>
      </c>
      <c r="L66" s="88"/>
    </row>
    <row r="67" spans="2:12" ht="15" customHeight="1">
      <c r="B67" s="84"/>
      <c r="C67" s="117" t="str">
        <f>IF('Prem Open'!G20=0,"",'Prem Open'!G20)</f>
        <v>Jocelyn K</v>
      </c>
      <c r="D67" s="92"/>
      <c r="E67" s="79"/>
      <c r="F67" s="84"/>
      <c r="G67" s="117" t="str">
        <f>IF('Prem Open'!G41=0,"",'Prem Open'!G41)</f>
        <v>Jocelyn K</v>
      </c>
      <c r="H67" s="92"/>
      <c r="I67" s="78"/>
      <c r="J67" s="84"/>
      <c r="K67" s="117" t="str">
        <f>IF('Prem Open'!G62=0,"",'Prem Open'!G62)</f>
        <v/>
      </c>
      <c r="L67" s="92"/>
    </row>
    <row r="68" spans="2:12" ht="15" customHeight="1">
      <c r="B68" s="84"/>
      <c r="C68" s="117" t="str">
        <f>IF('Prem Open'!G21=0,"",'Prem Open'!G21)</f>
        <v>S-J</v>
      </c>
      <c r="D68" s="92"/>
      <c r="E68" s="79"/>
      <c r="F68" s="84"/>
      <c r="G68" s="117" t="str">
        <f>IF('Prem Open'!G42=0,"",'Prem Open'!G42)</f>
        <v>S-J</v>
      </c>
      <c r="H68" s="92"/>
      <c r="I68" s="78"/>
      <c r="J68" s="84"/>
      <c r="K68" s="117" t="str">
        <f>IF('Prem Open'!G63=0,"",'Prem Open'!G63)</f>
        <v/>
      </c>
      <c r="L68" s="92"/>
    </row>
    <row r="69" spans="2:12" ht="15" customHeight="1">
      <c r="B69" s="84"/>
      <c r="C69" s="117" t="str">
        <f>IF('Prem Open'!G22=0,"",'Prem Open'!G22)</f>
        <v>Deb H</v>
      </c>
      <c r="D69" s="92"/>
      <c r="E69" s="79"/>
      <c r="F69" s="84"/>
      <c r="G69" s="117" t="str">
        <f>IF('Prem Open'!G43=0,"",'Prem Open'!G43)</f>
        <v>Deb H</v>
      </c>
      <c r="H69" s="92"/>
      <c r="I69" s="78"/>
      <c r="J69" s="84"/>
      <c r="K69" s="117" t="str">
        <f>IF('Prem Open'!G64=0,"",'Prem Open'!G64)</f>
        <v/>
      </c>
      <c r="L69" s="92"/>
    </row>
    <row r="70" spans="2:12" ht="15" customHeight="1" thickBot="1">
      <c r="B70" s="85"/>
      <c r="C70" s="86"/>
      <c r="D70" s="87"/>
      <c r="E70" s="79"/>
      <c r="F70" s="85"/>
      <c r="G70" s="86"/>
      <c r="H70" s="87"/>
      <c r="I70" s="78"/>
      <c r="J70" s="85"/>
      <c r="K70" s="86"/>
      <c r="L70" s="87"/>
    </row>
    <row r="72" spans="2:12" ht="15" customHeight="1">
      <c r="B72" s="152" t="str">
        <f>Allocation!I2</f>
        <v>Prem Women</v>
      </c>
      <c r="C72" s="152"/>
      <c r="D72" s="152"/>
      <c r="E72" s="152"/>
      <c r="F72" s="152"/>
      <c r="G72" s="152"/>
      <c r="H72" s="152"/>
      <c r="I72" s="152"/>
      <c r="J72" s="152"/>
      <c r="K72" s="152"/>
      <c r="L72" s="152"/>
    </row>
    <row r="73" spans="2:12" ht="15" customHeight="1" thickBot="1">
      <c r="F73" s="93"/>
      <c r="G73" s="93"/>
      <c r="H73" s="93"/>
      <c r="I73" s="93"/>
      <c r="J73" s="93"/>
      <c r="K73" s="93"/>
      <c r="L73" s="93"/>
    </row>
    <row r="74" spans="2:12" ht="15" customHeight="1">
      <c r="B74" s="153" t="str">
        <f>'Prem Women'!F4</f>
        <v>Heat 1</v>
      </c>
      <c r="C74" s="154"/>
      <c r="D74" s="155"/>
      <c r="E74" s="79"/>
      <c r="F74" s="153" t="str">
        <f>'Prem Women'!F25</f>
        <v>Heat 2</v>
      </c>
      <c r="G74" s="154"/>
      <c r="H74" s="155"/>
      <c r="I74" s="78"/>
      <c r="J74" s="153" t="str">
        <f>'Prem Women'!F46</f>
        <v>Final</v>
      </c>
      <c r="K74" s="154"/>
      <c r="L74" s="155"/>
    </row>
    <row r="75" spans="2:12" ht="15" customHeight="1">
      <c r="B75" s="115" t="s">
        <v>86</v>
      </c>
      <c r="C75" s="117" t="str">
        <f>IF('Prem Women'!G5=0,"",'Prem Women'!G5)</f>
        <v>Alice S</v>
      </c>
      <c r="D75" s="88"/>
      <c r="E75" s="79"/>
      <c r="F75" s="115" t="s">
        <v>86</v>
      </c>
      <c r="G75" s="117" t="str">
        <f>IF('Prem Women'!G26=0,"",'Prem Women'!G26)</f>
        <v>Alice S</v>
      </c>
      <c r="H75" s="88"/>
      <c r="I75" s="78"/>
      <c r="J75" s="115" t="s">
        <v>86</v>
      </c>
      <c r="K75" s="117" t="str">
        <f>IF('Prem Women'!G47=0,"",'Prem Women'!G47)</f>
        <v/>
      </c>
      <c r="L75" s="88"/>
    </row>
    <row r="76" spans="2:12" ht="15" customHeight="1">
      <c r="B76" s="80">
        <v>1</v>
      </c>
      <c r="C76" s="117" t="str">
        <f>IF('Prem Women'!G6=0,"",'Prem Women'!G6)</f>
        <v>Amanda D</v>
      </c>
      <c r="D76" s="92" t="str">
        <f>IF('Prem Women'!H6=0,"",'Prem Women'!H6)</f>
        <v>Deb H</v>
      </c>
      <c r="E76" s="79"/>
      <c r="F76" s="80">
        <v>1</v>
      </c>
      <c r="G76" s="117" t="str">
        <f>IF('Prem Women'!G27=0,"",'Prem Women'!G27)</f>
        <v>Deb H</v>
      </c>
      <c r="H76" s="92" t="str">
        <f>IF('Prem Women'!H27=0,"",'Prem Women'!H27)</f>
        <v>Amanda D</v>
      </c>
      <c r="I76" s="78"/>
      <c r="J76" s="80">
        <v>1</v>
      </c>
      <c r="K76" s="117" t="str">
        <f>IF('Prem Women'!G48=0,"",'Prem Women'!G48)</f>
        <v/>
      </c>
      <c r="L76" s="92" t="str">
        <f>IF('Prem Women'!H48=0,"",'Prem Women'!H48)</f>
        <v/>
      </c>
    </row>
    <row r="77" spans="2:12" ht="15" customHeight="1">
      <c r="B77" s="80">
        <v>2</v>
      </c>
      <c r="C77" s="117" t="str">
        <f>IF('Prem Women'!G7=0,"",'Prem Women'!G7)</f>
        <v>Victoria H</v>
      </c>
      <c r="D77" s="92" t="str">
        <f>IF('Prem Women'!H7=0,"",'Prem Women'!H7)</f>
        <v>Lianna C</v>
      </c>
      <c r="E77" s="79"/>
      <c r="F77" s="80">
        <v>2</v>
      </c>
      <c r="G77" s="117" t="str">
        <f>IF('Prem Women'!G28=0,"",'Prem Women'!G28)</f>
        <v>Victoria H</v>
      </c>
      <c r="H77" s="92" t="str">
        <f>IF('Prem Women'!H28=0,"",'Prem Women'!H28)</f>
        <v>Lianna C</v>
      </c>
      <c r="I77" s="78"/>
      <c r="J77" s="80">
        <v>2</v>
      </c>
      <c r="K77" s="117" t="str">
        <f>IF('Prem Women'!G49=0,"",'Prem Women'!G49)</f>
        <v/>
      </c>
      <c r="L77" s="92" t="str">
        <f>IF('Prem Women'!H49=0,"",'Prem Women'!H49)</f>
        <v/>
      </c>
    </row>
    <row r="78" spans="2:12" ht="15" customHeight="1">
      <c r="B78" s="80">
        <v>3</v>
      </c>
      <c r="C78" s="117" t="str">
        <f>IF('Prem Women'!G8=0,"",'Prem Women'!G8)</f>
        <v>Miu</v>
      </c>
      <c r="D78" s="92" t="str">
        <f>IF('Prem Women'!H8=0,"",'Prem Women'!H8)</f>
        <v>Alison M</v>
      </c>
      <c r="E78" s="79"/>
      <c r="F78" s="80">
        <v>3</v>
      </c>
      <c r="G78" s="117" t="str">
        <f>IF('Prem Women'!G29=0,"",'Prem Women'!G29)</f>
        <v>Alison M</v>
      </c>
      <c r="H78" s="92" t="str">
        <f>IF('Prem Women'!H29=0,"",'Prem Women'!H29)</f>
        <v>Miu</v>
      </c>
      <c r="I78" s="78"/>
      <c r="J78" s="80">
        <v>3</v>
      </c>
      <c r="K78" s="117" t="str">
        <f>IF('Prem Women'!G50=0,"",'Prem Women'!G50)</f>
        <v/>
      </c>
      <c r="L78" s="92" t="str">
        <f>IF('Prem Women'!H50=0,"",'Prem Women'!H50)</f>
        <v/>
      </c>
    </row>
    <row r="79" spans="2:12" ht="15" customHeight="1">
      <c r="B79" s="80">
        <v>4</v>
      </c>
      <c r="C79" s="117" t="str">
        <f>IF('Prem Women'!G9=0,"",'Prem Women'!G9)</f>
        <v>Helen F</v>
      </c>
      <c r="D79" s="92" t="str">
        <f>IF('Prem Women'!H9=0,"",'Prem Women'!H9)</f>
        <v>Sue T</v>
      </c>
      <c r="E79" s="79"/>
      <c r="F79" s="80">
        <v>4</v>
      </c>
      <c r="G79" s="117" t="str">
        <f>IF('Prem Women'!G30=0,"",'Prem Women'!G30)</f>
        <v>Sue T</v>
      </c>
      <c r="H79" s="92" t="str">
        <f>IF('Prem Women'!H30=0,"",'Prem Women'!H30)</f>
        <v>Helen F</v>
      </c>
      <c r="I79" s="78"/>
      <c r="J79" s="80">
        <v>4</v>
      </c>
      <c r="K79" s="117" t="str">
        <f>IF('Prem Women'!G51=0,"",'Prem Women'!G51)</f>
        <v/>
      </c>
      <c r="L79" s="92" t="str">
        <f>IF('Prem Women'!H51=0,"",'Prem Women'!H51)</f>
        <v/>
      </c>
    </row>
    <row r="80" spans="2:12" ht="15" customHeight="1">
      <c r="B80" s="80">
        <v>5</v>
      </c>
      <c r="C80" s="117" t="str">
        <f>IF('Prem Women'!G10=0,"",'Prem Women'!G10)</f>
        <v>Jocelyn K</v>
      </c>
      <c r="D80" s="92" t="str">
        <f>IF('Prem Women'!H10=0,"",'Prem Women'!H10)</f>
        <v>Rohini</v>
      </c>
      <c r="E80" s="79"/>
      <c r="F80" s="80">
        <v>5</v>
      </c>
      <c r="G80" s="117" t="str">
        <f>IF('Prem Women'!G31=0,"",'Prem Women'!G31)</f>
        <v>Rohini</v>
      </c>
      <c r="H80" s="92" t="str">
        <f>IF('Prem Women'!H31=0,"",'Prem Women'!H31)</f>
        <v>Jocelyn K</v>
      </c>
      <c r="I80" s="78"/>
      <c r="J80" s="80">
        <v>5</v>
      </c>
      <c r="K80" s="117" t="str">
        <f>IF('Prem Women'!G52=0,"",'Prem Women'!G52)</f>
        <v/>
      </c>
      <c r="L80" s="92" t="str">
        <f>IF('Prem Women'!H52=0,"",'Prem Women'!H52)</f>
        <v/>
      </c>
    </row>
    <row r="81" spans="2:12" ht="15" customHeight="1">
      <c r="B81" s="80">
        <v>6</v>
      </c>
      <c r="C81" s="117" t="str">
        <f>IF('Prem Women'!G11=0,"",'Prem Women'!G11)</f>
        <v>Leah H</v>
      </c>
      <c r="D81" s="92" t="str">
        <f>IF('Prem Women'!H11=0,"",'Prem Women'!H11)</f>
        <v>Anne-Marie</v>
      </c>
      <c r="E81" s="79"/>
      <c r="F81" s="80">
        <v>6</v>
      </c>
      <c r="G81" s="117" t="str">
        <f>IF('Prem Women'!G32=0,"",'Prem Women'!G32)</f>
        <v>Anne-Marie</v>
      </c>
      <c r="H81" s="92" t="str">
        <f>IF('Prem Women'!H32=0,"",'Prem Women'!H32)</f>
        <v>Leah H</v>
      </c>
      <c r="I81" s="78"/>
      <c r="J81" s="80">
        <v>6</v>
      </c>
      <c r="K81" s="117" t="str">
        <f>IF('Prem Women'!G53=0,"",'Prem Women'!G53)</f>
        <v/>
      </c>
      <c r="L81" s="92" t="str">
        <f>IF('Prem Women'!H53=0,"",'Prem Women'!H53)</f>
        <v/>
      </c>
    </row>
    <row r="82" spans="2:12" ht="15" customHeight="1">
      <c r="B82" s="80">
        <v>7</v>
      </c>
      <c r="C82" s="117" t="str">
        <f>IF('Prem Women'!G12=0,"",'Prem Women'!G12)</f>
        <v>Janet A</v>
      </c>
      <c r="D82" s="92" t="str">
        <f>IF('Prem Women'!H12=0,"",'Prem Women'!H12)</f>
        <v>Mary-Alice</v>
      </c>
      <c r="E82" s="79"/>
      <c r="F82" s="80">
        <v>7</v>
      </c>
      <c r="G82" s="117" t="str">
        <f>IF('Prem Women'!G33=0,"",'Prem Women'!G33)</f>
        <v>Janet A</v>
      </c>
      <c r="H82" s="92" t="str">
        <f>IF('Prem Women'!H33=0,"",'Prem Women'!H33)</f>
        <v>Liz Mc</v>
      </c>
      <c r="I82" s="78"/>
      <c r="J82" s="80">
        <v>7</v>
      </c>
      <c r="K82" s="117" t="str">
        <f>IF('Prem Women'!G54=0,"",'Prem Women'!G54)</f>
        <v/>
      </c>
      <c r="L82" s="92" t="str">
        <f>IF('Prem Women'!H54=0,"",'Prem Women'!H54)</f>
        <v/>
      </c>
    </row>
    <row r="83" spans="2:12" ht="15" customHeight="1">
      <c r="B83" s="80">
        <v>8</v>
      </c>
      <c r="C83" s="117" t="str">
        <f>IF('Prem Women'!G13=0,"",'Prem Women'!G13)</f>
        <v>Amanda F</v>
      </c>
      <c r="D83" s="92" t="str">
        <f>IF('Prem Women'!H13=0,"",'Prem Women'!H13)</f>
        <v>Bibiana A</v>
      </c>
      <c r="E83" s="79"/>
      <c r="F83" s="80">
        <v>8</v>
      </c>
      <c r="G83" s="117" t="str">
        <f>IF('Prem Women'!G34=0,"",'Prem Women'!G34)</f>
        <v>Bibiana A</v>
      </c>
      <c r="H83" s="92" t="str">
        <f>IF('Prem Women'!H34=0,"",'Prem Women'!H34)</f>
        <v>Amanda F</v>
      </c>
      <c r="I83" s="78"/>
      <c r="J83" s="80">
        <v>8</v>
      </c>
      <c r="K83" s="117" t="str">
        <f>IF('Prem Women'!G55=0,"",'Prem Women'!G55)</f>
        <v/>
      </c>
      <c r="L83" s="92" t="str">
        <f>IF('Prem Women'!H55=0,"",'Prem Women'!H55)</f>
        <v/>
      </c>
    </row>
    <row r="84" spans="2:12" ht="15" customHeight="1">
      <c r="B84" s="80">
        <v>9</v>
      </c>
      <c r="C84" s="117" t="str">
        <f>IF('Prem Women'!G14=0,"",'Prem Women'!G14)</f>
        <v>Rachael H</v>
      </c>
      <c r="D84" s="92" t="str">
        <f>IF('Prem Women'!H14=0,"",'Prem Women'!H14)</f>
        <v>Divina</v>
      </c>
      <c r="E84" s="79"/>
      <c r="F84" s="80">
        <v>9</v>
      </c>
      <c r="G84" s="117" t="str">
        <f>IF('Prem Women'!G35=0,"",'Prem Women'!G35)</f>
        <v>Divina</v>
      </c>
      <c r="H84" s="92" t="str">
        <f>IF('Prem Women'!H35=0,"",'Prem Women'!H35)</f>
        <v>Rachael H</v>
      </c>
      <c r="I84" s="78"/>
      <c r="J84" s="80">
        <v>9</v>
      </c>
      <c r="K84" s="117" t="str">
        <f>IF('Prem Women'!G56=0,"",'Prem Women'!G56)</f>
        <v/>
      </c>
      <c r="L84" s="92" t="str">
        <f>IF('Prem Women'!H56=0,"",'Prem Women'!H56)</f>
        <v/>
      </c>
    </row>
    <row r="85" spans="2:12" ht="15" customHeight="1">
      <c r="B85" s="80">
        <v>10</v>
      </c>
      <c r="C85" s="117" t="str">
        <f>IF('Prem Women'!G15=0,"",'Prem Women'!G15)</f>
        <v>Amy</v>
      </c>
      <c r="D85" s="92" t="str">
        <f>IF('Prem Women'!H15=0,"",'Prem Women'!H15)</f>
        <v>Alice C</v>
      </c>
      <c r="E85" s="79"/>
      <c r="F85" s="80">
        <v>10</v>
      </c>
      <c r="G85" s="117" t="str">
        <f>IF('Prem Women'!G36=0,"",'Prem Women'!G36)</f>
        <v>Alice C</v>
      </c>
      <c r="H85" s="92" t="str">
        <f>IF('Prem Women'!H36=0,"",'Prem Women'!H36)</f>
        <v>Amy</v>
      </c>
      <c r="I85" s="78"/>
      <c r="J85" s="80">
        <v>10</v>
      </c>
      <c r="K85" s="117" t="str">
        <f>IF('Prem Women'!G57=0,"",'Prem Women'!G57)</f>
        <v/>
      </c>
      <c r="L85" s="92" t="str">
        <f>IF('Prem Women'!H57=0,"",'Prem Women'!H57)</f>
        <v/>
      </c>
    </row>
    <row r="86" spans="2:12" ht="15" customHeight="1">
      <c r="B86" s="116" t="s">
        <v>18</v>
      </c>
      <c r="C86" s="118" t="str">
        <f>IF('Prem Women'!G16=0,"",'Prem Women'!G16)</f>
        <v>S-J</v>
      </c>
      <c r="D86" s="89"/>
      <c r="E86" s="79"/>
      <c r="F86" s="116" t="s">
        <v>18</v>
      </c>
      <c r="G86" s="118" t="str">
        <f>IF('Prem Women'!G37=0,"",'Prem Women'!G37)</f>
        <v>S-J</v>
      </c>
      <c r="H86" s="89"/>
      <c r="I86" s="78"/>
      <c r="J86" s="116" t="s">
        <v>18</v>
      </c>
      <c r="K86" s="118" t="str">
        <f>IF('Prem Women'!G58=0,"",'Prem Women'!G58)</f>
        <v/>
      </c>
      <c r="L86" s="89"/>
    </row>
    <row r="87" spans="2:12" ht="15" customHeight="1">
      <c r="B87" s="81"/>
      <c r="C87" s="90"/>
      <c r="D87" s="91"/>
      <c r="E87" s="79"/>
      <c r="F87" s="81"/>
      <c r="G87" s="90"/>
      <c r="H87" s="91"/>
      <c r="I87" s="78"/>
      <c r="J87" s="81"/>
      <c r="K87" s="90"/>
      <c r="L87" s="91"/>
    </row>
    <row r="88" spans="2:12" ht="15" customHeight="1">
      <c r="B88" s="82" t="s">
        <v>6</v>
      </c>
      <c r="C88" s="90"/>
      <c r="D88" s="91"/>
      <c r="E88" s="79"/>
      <c r="F88" s="82" t="s">
        <v>6</v>
      </c>
      <c r="G88" s="90"/>
      <c r="H88" s="91"/>
      <c r="I88" s="78"/>
      <c r="J88" s="82" t="s">
        <v>6</v>
      </c>
      <c r="K88" s="90"/>
      <c r="L88" s="91"/>
    </row>
    <row r="89" spans="2:12" ht="15" customHeight="1">
      <c r="B89" s="83"/>
      <c r="C89" s="117" t="str">
        <f>IF('Prem Women'!G19=0,"",'Prem Women'!G19)</f>
        <v>Liz Mc</v>
      </c>
      <c r="D89" s="88"/>
      <c r="E89" s="79"/>
      <c r="F89" s="83"/>
      <c r="G89" s="117" t="str">
        <f>IF('Prem Women'!G40=0,"",'Prem Women'!G40)</f>
        <v>Mary-Alice</v>
      </c>
      <c r="H89" s="88"/>
      <c r="I89" s="78"/>
      <c r="J89" s="83"/>
      <c r="K89" s="117" t="str">
        <f>IF('Prem Women'!G61=0,"",'Prem Women'!G61)</f>
        <v/>
      </c>
      <c r="L89" s="88"/>
    </row>
    <row r="90" spans="2:12" ht="15" customHeight="1">
      <c r="B90" s="84"/>
      <c r="C90" s="117" t="str">
        <f>IF('Prem Women'!G20=0,"",'Prem Women'!G20)</f>
        <v/>
      </c>
      <c r="D90" s="92"/>
      <c r="E90" s="79"/>
      <c r="F90" s="84"/>
      <c r="G90" s="117" t="str">
        <f>IF('Prem Women'!G41=0,"",'Prem Women'!G41)</f>
        <v/>
      </c>
      <c r="H90" s="92"/>
      <c r="I90" s="78"/>
      <c r="J90" s="84"/>
      <c r="K90" s="117" t="str">
        <f>IF('Prem Women'!G62=0,"",'Prem Women'!G62)</f>
        <v/>
      </c>
      <c r="L90" s="92"/>
    </row>
    <row r="91" spans="2:12" ht="15" customHeight="1">
      <c r="B91" s="84"/>
      <c r="C91" s="117" t="str">
        <f>IF('Prem Women'!G21=0,"",'Prem Women'!G21)</f>
        <v/>
      </c>
      <c r="D91" s="92"/>
      <c r="E91" s="79"/>
      <c r="F91" s="84"/>
      <c r="G91" s="117" t="str">
        <f>IF('Prem Women'!G42=0,"",'Prem Women'!G42)</f>
        <v/>
      </c>
      <c r="H91" s="92"/>
      <c r="I91" s="78"/>
      <c r="J91" s="84"/>
      <c r="K91" s="117" t="str">
        <f>IF('Prem Women'!G63=0,"",'Prem Women'!G63)</f>
        <v/>
      </c>
      <c r="L91" s="92"/>
    </row>
    <row r="92" spans="2:12" ht="15" customHeight="1">
      <c r="B92" s="84"/>
      <c r="C92" s="117" t="str">
        <f>IF('Prem Women'!G22=0,"",'Prem Women'!G22)</f>
        <v/>
      </c>
      <c r="D92" s="92"/>
      <c r="E92" s="79"/>
      <c r="F92" s="84"/>
      <c r="G92" s="117" t="str">
        <f>IF('Prem Women'!G43=0,"",'Prem Women'!G43)</f>
        <v/>
      </c>
      <c r="H92" s="92"/>
      <c r="I92" s="78"/>
      <c r="J92" s="84"/>
      <c r="K92" s="117" t="str">
        <f>IF('Prem Women'!G64=0,"",'Prem Women'!G64)</f>
        <v/>
      </c>
      <c r="L92" s="92"/>
    </row>
    <row r="93" spans="2:12" ht="15" customHeight="1" thickBot="1">
      <c r="B93" s="85"/>
      <c r="C93" s="86"/>
      <c r="D93" s="87"/>
      <c r="E93" s="79"/>
      <c r="F93" s="85"/>
      <c r="G93" s="86"/>
      <c r="H93" s="87"/>
      <c r="I93" s="78"/>
      <c r="J93" s="85"/>
      <c r="K93" s="86"/>
      <c r="L93" s="87"/>
    </row>
  </sheetData>
  <sheetProtection algorithmName="SHA-512" hashValue="rQcLRWmzNo3fkMRz5QxcAmwWK6wlJPp04sP7U04DNjEYR+yAPjBcrGSI6i2dxn1Z7rBWCWsIqAEbbWXnfWtZsA==" saltValue="eTYGnC1eZr+zEspEgSZhwA==" spinCount="100000" sheet="1" objects="1" scenarios="1"/>
  <mergeCells count="16">
    <mergeCell ref="B74:D74"/>
    <mergeCell ref="F74:H74"/>
    <mergeCell ref="J74:L74"/>
    <mergeCell ref="B5:D5"/>
    <mergeCell ref="F5:H5"/>
    <mergeCell ref="J5:L5"/>
    <mergeCell ref="B3:L3"/>
    <mergeCell ref="B72:L72"/>
    <mergeCell ref="B49:L49"/>
    <mergeCell ref="B51:D51"/>
    <mergeCell ref="F51:H51"/>
    <mergeCell ref="J51:L51"/>
    <mergeCell ref="B26:L26"/>
    <mergeCell ref="B28:D28"/>
    <mergeCell ref="F28:H28"/>
    <mergeCell ref="J28:L28"/>
  </mergeCells>
  <pageMargins left="0.70866141732283472" right="0.70866141732283472" top="0.74803149606299213" bottom="0.74803149606299213" header="0.31496062992125984" footer="0.31496062992125984"/>
  <pageSetup orientation="landscape" r:id="rId1"/>
  <headerFooter>
    <oddFooter>&amp;C&amp;"Helvetica Neue,Regular"&amp;12&amp;K000000&amp;P</oddFooter>
  </headerFooter>
  <rowBreaks count="3" manualBreakCount="3">
    <brk id="25" max="16383" man="1"/>
    <brk id="48" max="16383" man="1"/>
    <brk id="71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U50"/>
  <sheetViews>
    <sheetView showGridLines="0" workbookViewId="0">
      <selection activeCell="F24" sqref="F24"/>
    </sheetView>
  </sheetViews>
  <sheetFormatPr defaultColWidth="8.85546875" defaultRowHeight="15" customHeight="1"/>
  <cols>
    <col min="1" max="1" width="6.28515625" style="2" customWidth="1"/>
    <col min="2" max="2" width="11.28515625" style="2" customWidth="1"/>
    <col min="3" max="3" width="26.28515625" style="2" customWidth="1"/>
    <col min="4" max="4" width="6.28515625" style="2" customWidth="1"/>
    <col min="5" max="5" width="11.28515625" style="2" customWidth="1"/>
    <col min="6" max="6" width="26.28515625" style="2" customWidth="1"/>
    <col min="7" max="7" width="6.28515625" style="2" customWidth="1"/>
    <col min="8" max="8" width="11.28515625" style="2" customWidth="1"/>
    <col min="9" max="9" width="26.28515625" style="2" customWidth="1"/>
    <col min="10" max="10" width="6.28515625" style="2" customWidth="1"/>
    <col min="11" max="11" width="11.28515625" style="2" customWidth="1"/>
    <col min="12" max="12" width="26.28515625" style="2" customWidth="1"/>
    <col min="13" max="255" width="8.85546875" style="2" customWidth="1"/>
  </cols>
  <sheetData>
    <row r="1" spans="1:13" ht="15" customHeight="1">
      <c r="A1" s="8"/>
      <c r="B1" s="156" t="str">
        <f>Allocation!F2</f>
        <v>Prem Mix</v>
      </c>
      <c r="C1" s="156"/>
      <c r="D1" s="112"/>
      <c r="E1" s="156" t="str">
        <f>Allocation!G2</f>
        <v>Master Mix</v>
      </c>
      <c r="F1" s="156"/>
      <c r="G1" s="112"/>
      <c r="H1" s="156" t="str">
        <f>Allocation!H2</f>
        <v>Prem Open</v>
      </c>
      <c r="I1" s="156"/>
      <c r="J1" s="112"/>
      <c r="K1" s="156" t="str">
        <f>Allocation!I2</f>
        <v>Prem Women</v>
      </c>
      <c r="L1" s="156"/>
      <c r="M1" s="8"/>
    </row>
    <row r="2" spans="1:13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15" customHeight="1">
      <c r="A3" s="13">
        <v>1</v>
      </c>
      <c r="B3" s="113" t="str">
        <f>IF(OR(VLOOKUP($A3,Allocation!$A$2:$I$32,6)="",VLOOKUP($A3,Allocation!$A$2:$I$32,6)&lt;=3)," ",VLOOKUP($A3,Allocation!$A$2:$I$32,6))</f>
        <v xml:space="preserve"> </v>
      </c>
      <c r="C3" s="10" t="str">
        <f>IF(VLOOKUP($A3,Allocation!$A$2:$I$32,6)&gt;0,VLOOKUP($A3,Allocation!$A$2:$I$32,2)," ")</f>
        <v xml:space="preserve"> </v>
      </c>
      <c r="D3" s="10"/>
      <c r="E3" s="113" t="str">
        <f>IF(OR(VLOOKUP($A3,Allocation!$A$2:$I$32,7)="",VLOOKUP($A3,Allocation!$A$2:$I$32,7)&lt;=3)," ",VLOOKUP($A3,Allocation!$A$2:$I$32,7))</f>
        <v xml:space="preserve"> </v>
      </c>
      <c r="F3" s="10" t="str">
        <f>IF(VLOOKUP($A3,Allocation!$A$2:$I$32,7)&gt;0,VLOOKUP($A3,Allocation!$A$2:$I$32,2)," ")</f>
        <v xml:space="preserve"> </v>
      </c>
      <c r="G3" s="10"/>
      <c r="H3" s="113" t="str">
        <f>IF(OR(VLOOKUP($A3,Allocation!$A$2:$I$32,8)="",VLOOKUP($A3,Allocation!$A$2:$I$32,8)&lt;=3)," ",VLOOKUP($A3,Allocation!$A$2:$I$32,8))</f>
        <v xml:space="preserve"> </v>
      </c>
      <c r="I3" s="10" t="str">
        <f>IF(VLOOKUP($A3,Allocation!$A$2:$I$32,8)&gt;0,VLOOKUP($A3,Allocation!$A$2:$I$32,2)," ")</f>
        <v>Campbell, Mary-Alice</v>
      </c>
      <c r="J3" s="10"/>
      <c r="K3" s="113" t="str">
        <f>IF(OR(VLOOKUP($A3,Allocation!$A$2:$I$32,9)="",VLOOKUP($A3,Allocation!$A$2:$I$32,9)&lt;=3)," ",VLOOKUP($A3,Allocation!$A$2:$I$32,9))</f>
        <v xml:space="preserve"> </v>
      </c>
      <c r="L3" s="10" t="str">
        <f>IF(VLOOKUP($A3,Allocation!$A$2:$I$32,9)&gt;0,VLOOKUP($A3,Allocation!$A$2:$I$32,2)," ")</f>
        <v>Campbell, Mary-Alice</v>
      </c>
      <c r="M3" s="8"/>
    </row>
    <row r="4" spans="1:13" ht="15" customHeight="1">
      <c r="A4" s="13">
        <v>2</v>
      </c>
      <c r="B4" s="113" t="str">
        <f>IF(OR(VLOOKUP($A4,Allocation!$A$2:$I$32,6)="",VLOOKUP($A4,Allocation!$A$2:$I$32,6)&lt;=3)," ",VLOOKUP($A4,Allocation!$A$2:$I$32,6))</f>
        <v xml:space="preserve"> </v>
      </c>
      <c r="C4" s="10" t="str">
        <f>IF(VLOOKUP($A4,Allocation!$A$2:$I$32,6)&gt;0,VLOOKUP($A4,Allocation!$A$2:$I$32,2)," ")</f>
        <v>Davies, Amanda</v>
      </c>
      <c r="D4" s="10"/>
      <c r="E4" s="113" t="str">
        <f>IF(OR(VLOOKUP($A4,Allocation!$A$2:$I$32,7)="",VLOOKUP($A4,Allocation!$A$2:$I$32,7)&lt;=3)," ",VLOOKUP($A4,Allocation!$A$2:$I$32,7))</f>
        <v xml:space="preserve"> </v>
      </c>
      <c r="F4" s="10" t="str">
        <f>IF(VLOOKUP($A4,Allocation!$A$2:$I$32,7)&gt;0,VLOOKUP($A4,Allocation!$A$2:$I$32,2)," ")</f>
        <v xml:space="preserve"> </v>
      </c>
      <c r="G4" s="10"/>
      <c r="H4" s="113" t="str">
        <f>IF(OR(VLOOKUP($A4,Allocation!$A$2:$I$32,8)="",VLOOKUP($A4,Allocation!$A$2:$I$32,8)&lt;=3)," ",VLOOKUP($A4,Allocation!$A$2:$I$32,8))</f>
        <v xml:space="preserve"> </v>
      </c>
      <c r="I4" s="10" t="str">
        <f>IF(VLOOKUP($A4,Allocation!$A$2:$I$32,8)&gt;0,VLOOKUP($A4,Allocation!$A$2:$I$32,2)," ")</f>
        <v xml:space="preserve"> </v>
      </c>
      <c r="J4" s="10"/>
      <c r="K4" s="113" t="str">
        <f>IF(OR(VLOOKUP($A4,Allocation!$A$2:$I$32,9)="",VLOOKUP($A4,Allocation!$A$2:$I$32,9)&lt;=3)," ",VLOOKUP($A4,Allocation!$A$2:$I$32,9))</f>
        <v xml:space="preserve"> </v>
      </c>
      <c r="L4" s="10" t="str">
        <f>IF(VLOOKUP($A4,Allocation!$A$2:$I$32,9)&gt;0,VLOOKUP($A4,Allocation!$A$2:$I$32,2)," ")</f>
        <v>Davies, Amanda</v>
      </c>
      <c r="M4" s="8"/>
    </row>
    <row r="5" spans="1:13" ht="15" customHeight="1">
      <c r="A5" s="13">
        <v>3</v>
      </c>
      <c r="B5" s="113" t="str">
        <f>IF(OR(VLOOKUP($A5,Allocation!$A$2:$I$32,6)="",VLOOKUP($A5,Allocation!$A$2:$I$32,6)&lt;=3)," ",VLOOKUP($A5,Allocation!$A$2:$I$32,6))</f>
        <v xml:space="preserve"> </v>
      </c>
      <c r="C5" s="10" t="str">
        <f>IF(VLOOKUP($A5,Allocation!$A$2:$I$32,6)&gt;0,VLOOKUP($A5,Allocation!$A$2:$I$32,2)," ")</f>
        <v xml:space="preserve"> </v>
      </c>
      <c r="D5" s="10"/>
      <c r="E5" s="113" t="str">
        <f>IF(OR(VLOOKUP($A5,Allocation!$A$2:$I$32,7)="",VLOOKUP($A5,Allocation!$A$2:$I$32,7)&lt;=3)," ",VLOOKUP($A5,Allocation!$A$2:$I$32,7))</f>
        <v xml:space="preserve"> </v>
      </c>
      <c r="F5" s="10" t="str">
        <f>IF(VLOOKUP($A5,Allocation!$A$2:$I$32,7)&gt;0,VLOOKUP($A5,Allocation!$A$2:$I$32,2)," ")</f>
        <v xml:space="preserve"> </v>
      </c>
      <c r="G5" s="10"/>
      <c r="H5" s="113" t="str">
        <f>IF(OR(VLOOKUP($A5,Allocation!$A$2:$I$32,8)="",VLOOKUP($A5,Allocation!$A$2:$I$32,8)&lt;=3)," ",VLOOKUP($A5,Allocation!$A$2:$I$32,8))</f>
        <v xml:space="preserve"> </v>
      </c>
      <c r="I5" s="10" t="str">
        <f>IF(VLOOKUP($A5,Allocation!$A$2:$I$32,8)&gt;0,VLOOKUP($A5,Allocation!$A$2:$I$32,2)," ")</f>
        <v>Finneran, Amanda</v>
      </c>
      <c r="J5" s="10"/>
      <c r="K5" s="113" t="str">
        <f>IF(OR(VLOOKUP($A5,Allocation!$A$2:$I$32,9)="",VLOOKUP($A5,Allocation!$A$2:$I$32,9)&lt;=3)," ",VLOOKUP($A5,Allocation!$A$2:$I$32,9))</f>
        <v xml:space="preserve"> </v>
      </c>
      <c r="L5" s="10" t="str">
        <f>IF(VLOOKUP($A5,Allocation!$A$2:$I$32,9)&gt;0,VLOOKUP($A5,Allocation!$A$2:$I$32,2)," ")</f>
        <v>Finneran, Amanda</v>
      </c>
      <c r="M5" s="8"/>
    </row>
    <row r="6" spans="1:13" ht="15" customHeight="1">
      <c r="A6" s="13">
        <v>4</v>
      </c>
      <c r="B6" s="113" t="str">
        <f>IF(OR(VLOOKUP($A6,Allocation!$A$2:$I$32,6)="",VLOOKUP($A6,Allocation!$A$2:$I$32,6)&lt;=3)," ",VLOOKUP($A6,Allocation!$A$2:$I$32,6))</f>
        <v>Drum</v>
      </c>
      <c r="C6" s="10" t="str">
        <f>IF(VLOOKUP($A6,Allocation!$A$2:$I$32,6)&gt;0,VLOOKUP($A6,Allocation!$A$2:$I$32,2)," ")</f>
        <v>Ford, Helen</v>
      </c>
      <c r="D6" s="10"/>
      <c r="E6" s="113" t="str">
        <f>IF(OR(VLOOKUP($A6,Allocation!$A$2:$I$32,7)="",VLOOKUP($A6,Allocation!$A$2:$I$32,7)&lt;=3)," ",VLOOKUP($A6,Allocation!$A$2:$I$32,7))</f>
        <v xml:space="preserve"> </v>
      </c>
      <c r="F6" s="10" t="str">
        <f>IF(VLOOKUP($A6,Allocation!$A$2:$I$32,7)&gt;0,VLOOKUP($A6,Allocation!$A$2:$I$32,2)," ")</f>
        <v xml:space="preserve"> </v>
      </c>
      <c r="G6" s="10"/>
      <c r="H6" s="113" t="str">
        <f>IF(OR(VLOOKUP($A6,Allocation!$A$2:$I$32,8)="",VLOOKUP($A6,Allocation!$A$2:$I$32,8)&lt;=3)," ",VLOOKUP($A6,Allocation!$A$2:$I$32,8))</f>
        <v xml:space="preserve"> </v>
      </c>
      <c r="I6" s="10" t="str">
        <f>IF(VLOOKUP($A6,Allocation!$A$2:$I$32,8)&gt;0,VLOOKUP($A6,Allocation!$A$2:$I$32,2)," ")</f>
        <v xml:space="preserve"> </v>
      </c>
      <c r="J6" s="10"/>
      <c r="K6" s="113" t="str">
        <f>IF(OR(VLOOKUP($A6,Allocation!$A$2:$I$32,9)="",VLOOKUP($A6,Allocation!$A$2:$I$32,9)&lt;=3)," ",VLOOKUP($A6,Allocation!$A$2:$I$32,9))</f>
        <v xml:space="preserve"> </v>
      </c>
      <c r="L6" s="10" t="str">
        <f>IF(VLOOKUP($A6,Allocation!$A$2:$I$32,9)&gt;0,VLOOKUP($A6,Allocation!$A$2:$I$32,2)," ")</f>
        <v>Ford, Helen</v>
      </c>
      <c r="M6" s="8"/>
    </row>
    <row r="7" spans="1:13" ht="15" customHeight="1">
      <c r="A7" s="13">
        <v>5</v>
      </c>
      <c r="B7" s="113" t="str">
        <f>IF(OR(VLOOKUP($A7,Allocation!$A$2:$I$32,6)="",VLOOKUP($A7,Allocation!$A$2:$I$32,6)&lt;=3)," ",VLOOKUP($A7,Allocation!$A$2:$I$32,6))</f>
        <v xml:space="preserve"> </v>
      </c>
      <c r="C7" s="10" t="str">
        <f>IF(VLOOKUP($A7,Allocation!$A$2:$I$32,6)&gt;0,VLOOKUP($A7,Allocation!$A$2:$I$32,2)," ")</f>
        <v>Hallett, Victoria</v>
      </c>
      <c r="D7" s="10"/>
      <c r="E7" s="113" t="str">
        <f>IF(OR(VLOOKUP($A7,Allocation!$A$2:$I$32,7)="",VLOOKUP($A7,Allocation!$A$2:$I$32,7)&lt;=3)," ",VLOOKUP($A7,Allocation!$A$2:$I$32,7))</f>
        <v xml:space="preserve"> </v>
      </c>
      <c r="F7" s="10" t="str">
        <f>IF(VLOOKUP($A7,Allocation!$A$2:$I$32,7)&gt;0,VLOOKUP($A7,Allocation!$A$2:$I$32,2)," ")</f>
        <v xml:space="preserve"> </v>
      </c>
      <c r="G7" s="10"/>
      <c r="H7" s="113" t="str">
        <f>IF(OR(VLOOKUP($A7,Allocation!$A$2:$I$32,8)="",VLOOKUP($A7,Allocation!$A$2:$I$32,8)&lt;=3)," ",VLOOKUP($A7,Allocation!$A$2:$I$32,8))</f>
        <v xml:space="preserve"> </v>
      </c>
      <c r="I7" s="10" t="str">
        <f>IF(VLOOKUP($A7,Allocation!$A$2:$I$32,8)&gt;0,VLOOKUP($A7,Allocation!$A$2:$I$32,2)," ")</f>
        <v xml:space="preserve"> </v>
      </c>
      <c r="J7" s="10"/>
      <c r="K7" s="113" t="str">
        <f>IF(OR(VLOOKUP($A7,Allocation!$A$2:$I$32,9)="",VLOOKUP($A7,Allocation!$A$2:$I$32,9)&lt;=3)," ",VLOOKUP($A7,Allocation!$A$2:$I$32,9))</f>
        <v xml:space="preserve"> </v>
      </c>
      <c r="L7" s="10" t="str">
        <f>IF(VLOOKUP($A7,Allocation!$A$2:$I$32,9)&gt;0,VLOOKUP($A7,Allocation!$A$2:$I$32,2)," ")</f>
        <v>Hallett, Victoria</v>
      </c>
      <c r="M7" s="8"/>
    </row>
    <row r="8" spans="1:13" ht="15" customHeight="1">
      <c r="A8" s="13">
        <v>6</v>
      </c>
      <c r="B8" s="113" t="str">
        <f>IF(OR(VLOOKUP($A8,Allocation!$A$2:$I$32,6)="",VLOOKUP($A8,Allocation!$A$2:$I$32,6)&lt;=3)," ",VLOOKUP($A8,Allocation!$A$2:$I$32,6))</f>
        <v xml:space="preserve"> </v>
      </c>
      <c r="C8" s="10" t="str">
        <f>IF(VLOOKUP($A8,Allocation!$A$2:$I$32,6)&gt;0,VLOOKUP($A8,Allocation!$A$2:$I$32,2)," ")</f>
        <v xml:space="preserve"> </v>
      </c>
      <c r="D8" s="10"/>
      <c r="E8" s="113" t="str">
        <f>IF(OR(VLOOKUP($A8,Allocation!$A$2:$I$32,7)="",VLOOKUP($A8,Allocation!$A$2:$I$32,7)&lt;=3)," ",VLOOKUP($A8,Allocation!$A$2:$I$32,7))</f>
        <v xml:space="preserve"> </v>
      </c>
      <c r="F8" s="10" t="str">
        <f>IF(VLOOKUP($A8,Allocation!$A$2:$I$32,7)&gt;0,VLOOKUP($A8,Allocation!$A$2:$I$32,2)," ")</f>
        <v xml:space="preserve"> </v>
      </c>
      <c r="G8" s="10"/>
      <c r="H8" s="113" t="str">
        <f>IF(OR(VLOOKUP($A8,Allocation!$A$2:$I$32,8)="",VLOOKUP($A8,Allocation!$A$2:$I$32,8)&lt;=3)," ",VLOOKUP($A8,Allocation!$A$2:$I$32,8))</f>
        <v xml:space="preserve"> </v>
      </c>
      <c r="I8" s="10" t="str">
        <f>IF(VLOOKUP($A8,Allocation!$A$2:$I$32,8)&gt;0,VLOOKUP($A8,Allocation!$A$2:$I$32,2)," ")</f>
        <v>Agudelo, Bibiana</v>
      </c>
      <c r="J8" s="10"/>
      <c r="K8" s="113" t="str">
        <f>IF(OR(VLOOKUP($A8,Allocation!$A$2:$I$32,9)="",VLOOKUP($A8,Allocation!$A$2:$I$32,9)&lt;=3)," ",VLOOKUP($A8,Allocation!$A$2:$I$32,9))</f>
        <v xml:space="preserve"> </v>
      </c>
      <c r="L8" s="10" t="str">
        <f>IF(VLOOKUP($A8,Allocation!$A$2:$I$32,9)&gt;0,VLOOKUP($A8,Allocation!$A$2:$I$32,2)," ")</f>
        <v>Agudelo, Bibiana</v>
      </c>
      <c r="M8" s="8"/>
    </row>
    <row r="9" spans="1:13" ht="15" customHeight="1">
      <c r="A9" s="13">
        <v>7</v>
      </c>
      <c r="B9" s="113" t="str">
        <f>IF(OR(VLOOKUP($A9,Allocation!$A$2:$I$32,6)="",VLOOKUP($A9,Allocation!$A$2:$I$32,6)&lt;=3)," ",VLOOKUP($A9,Allocation!$A$2:$I$32,6))</f>
        <v xml:space="preserve"> </v>
      </c>
      <c r="C9" s="10" t="str">
        <f>IF(VLOOKUP($A9,Allocation!$A$2:$I$32,6)&gt;0,VLOOKUP($A9,Allocation!$A$2:$I$32,2)," ")</f>
        <v>Hirst, Deb</v>
      </c>
      <c r="D9" s="10"/>
      <c r="E9" s="113" t="str">
        <f>IF(OR(VLOOKUP($A9,Allocation!$A$2:$I$32,7)="",VLOOKUP($A9,Allocation!$A$2:$I$32,7)&lt;=3)," ",VLOOKUP($A9,Allocation!$A$2:$I$32,7))</f>
        <v xml:space="preserve"> </v>
      </c>
      <c r="F9" s="10" t="str">
        <f>IF(VLOOKUP($A9,Allocation!$A$2:$I$32,7)&gt;0,VLOOKUP($A9,Allocation!$A$2:$I$32,2)," ")</f>
        <v xml:space="preserve"> </v>
      </c>
      <c r="G9" s="10"/>
      <c r="H9" s="113" t="str">
        <f>IF(OR(VLOOKUP($A9,Allocation!$A$2:$I$32,8)="",VLOOKUP($A9,Allocation!$A$2:$I$32,8)&lt;=3)," ",VLOOKUP($A9,Allocation!$A$2:$I$32,8))</f>
        <v xml:space="preserve"> </v>
      </c>
      <c r="I9" s="10" t="str">
        <f>IF(VLOOKUP($A9,Allocation!$A$2:$I$32,8)&gt;0,VLOOKUP($A9,Allocation!$A$2:$I$32,2)," ")</f>
        <v xml:space="preserve"> </v>
      </c>
      <c r="J9" s="10"/>
      <c r="K9" s="113" t="str">
        <f>IF(OR(VLOOKUP($A9,Allocation!$A$2:$I$32,9)="",VLOOKUP($A9,Allocation!$A$2:$I$32,9)&lt;=3)," ",VLOOKUP($A9,Allocation!$A$2:$I$32,9))</f>
        <v xml:space="preserve"> </v>
      </c>
      <c r="L9" s="10" t="str">
        <f>IF(VLOOKUP($A9,Allocation!$A$2:$I$32,9)&gt;0,VLOOKUP($A9,Allocation!$A$2:$I$32,2)," ")</f>
        <v>Hirst, Deb</v>
      </c>
      <c r="M9" s="8"/>
    </row>
    <row r="10" spans="1:13" ht="15" customHeight="1">
      <c r="A10" s="13">
        <v>8</v>
      </c>
      <c r="B10" s="113" t="str">
        <f>IF(OR(VLOOKUP($A10,Allocation!$A$2:$I$32,6)="",VLOOKUP($A10,Allocation!$A$2:$I$32,6)&lt;=3)," ",VLOOKUP($A10,Allocation!$A$2:$I$32,6))</f>
        <v xml:space="preserve"> </v>
      </c>
      <c r="C10" s="10" t="str">
        <f>IF(VLOOKUP($A10,Allocation!$A$2:$I$32,6)&gt;0,VLOOKUP($A10,Allocation!$A$2:$I$32,2)," ")</f>
        <v xml:space="preserve"> </v>
      </c>
      <c r="D10" s="10"/>
      <c r="E10" s="113" t="str">
        <f>IF(OR(VLOOKUP($A10,Allocation!$A$2:$I$32,7)="",VLOOKUP($A10,Allocation!$A$2:$I$32,7)&lt;=3)," ",VLOOKUP($A10,Allocation!$A$2:$I$32,7))</f>
        <v xml:space="preserve"> </v>
      </c>
      <c r="F10" s="10" t="str">
        <f>IF(VLOOKUP($A10,Allocation!$A$2:$I$32,7)&gt;0,VLOOKUP($A10,Allocation!$A$2:$I$32,2)," ")</f>
        <v xml:space="preserve"> </v>
      </c>
      <c r="G10" s="10"/>
      <c r="H10" s="113" t="str">
        <f>IF(OR(VLOOKUP($A10,Allocation!$A$2:$I$32,8)="",VLOOKUP($A10,Allocation!$A$2:$I$32,8)&lt;=3)," ",VLOOKUP($A10,Allocation!$A$2:$I$32,8))</f>
        <v xml:space="preserve"> </v>
      </c>
      <c r="I10" s="10" t="str">
        <f>IF(VLOOKUP($A10,Allocation!$A$2:$I$32,8)&gt;0,VLOOKUP($A10,Allocation!$A$2:$I$32,2)," ")</f>
        <v>Hu, Yanhua</v>
      </c>
      <c r="J10" s="10"/>
      <c r="K10" s="113" t="str">
        <f>IF(OR(VLOOKUP($A10,Allocation!$A$2:$I$32,9)="",VLOOKUP($A10,Allocation!$A$2:$I$32,9)&lt;=3)," ",VLOOKUP($A10,Allocation!$A$2:$I$32,9))</f>
        <v xml:space="preserve"> </v>
      </c>
      <c r="L10" s="10" t="str">
        <f>IF(VLOOKUP($A10,Allocation!$A$2:$I$32,9)&gt;0,VLOOKUP($A10,Allocation!$A$2:$I$32,2)," ")</f>
        <v>Hu, Yanhua</v>
      </c>
      <c r="M10" s="8"/>
    </row>
    <row r="11" spans="1:13" ht="15" customHeight="1">
      <c r="A11" s="13">
        <v>9</v>
      </c>
      <c r="B11" s="113" t="str">
        <f>IF(OR(VLOOKUP($A11,Allocation!$A$2:$I$32,6)="",VLOOKUP($A11,Allocation!$A$2:$I$32,6)&lt;=3)," ",VLOOKUP($A11,Allocation!$A$2:$I$32,6))</f>
        <v xml:space="preserve"> </v>
      </c>
      <c r="C11" s="10" t="str">
        <f>IF(VLOOKUP($A11,Allocation!$A$2:$I$32,6)&gt;0,VLOOKUP($A11,Allocation!$A$2:$I$32,2)," ")</f>
        <v>Kemp, Jocelyn</v>
      </c>
      <c r="D11" s="10"/>
      <c r="E11" s="113" t="str">
        <f>IF(OR(VLOOKUP($A11,Allocation!$A$2:$I$32,7)="",VLOOKUP($A11,Allocation!$A$2:$I$32,7)&lt;=3)," ",VLOOKUP($A11,Allocation!$A$2:$I$32,7))</f>
        <v xml:space="preserve"> </v>
      </c>
      <c r="F11" s="10" t="str">
        <f>IF(VLOOKUP($A11,Allocation!$A$2:$I$32,7)&gt;0,VLOOKUP($A11,Allocation!$A$2:$I$32,2)," ")</f>
        <v xml:space="preserve"> </v>
      </c>
      <c r="G11" s="10"/>
      <c r="H11" s="113" t="str">
        <f>IF(OR(VLOOKUP($A11,Allocation!$A$2:$I$32,8)="",VLOOKUP($A11,Allocation!$A$2:$I$32,8)&lt;=3)," ",VLOOKUP($A11,Allocation!$A$2:$I$32,8))</f>
        <v xml:space="preserve"> </v>
      </c>
      <c r="I11" s="10" t="str">
        <f>IF(VLOOKUP($A11,Allocation!$A$2:$I$32,8)&gt;0,VLOOKUP($A11,Allocation!$A$2:$I$32,2)," ")</f>
        <v xml:space="preserve"> </v>
      </c>
      <c r="J11" s="10"/>
      <c r="K11" s="113" t="str">
        <f>IF(OR(VLOOKUP($A11,Allocation!$A$2:$I$32,9)="",VLOOKUP($A11,Allocation!$A$2:$I$32,9)&lt;=3)," ",VLOOKUP($A11,Allocation!$A$2:$I$32,9))</f>
        <v xml:space="preserve"> </v>
      </c>
      <c r="L11" s="10" t="str">
        <f>IF(VLOOKUP($A11,Allocation!$A$2:$I$32,9)&gt;0,VLOOKUP($A11,Allocation!$A$2:$I$32,2)," ")</f>
        <v>Kemp, Jocelyn</v>
      </c>
      <c r="M11" s="8"/>
    </row>
    <row r="12" spans="1:13" ht="15" customHeight="1">
      <c r="A12" s="13">
        <v>10</v>
      </c>
      <c r="B12" s="113" t="str">
        <f>IF(OR(VLOOKUP($A12,Allocation!$A$2:$I$32,6)="",VLOOKUP($A12,Allocation!$A$2:$I$32,6)&lt;=3)," ",VLOOKUP($A12,Allocation!$A$2:$I$32,6))</f>
        <v xml:space="preserve"> </v>
      </c>
      <c r="C12" s="10" t="str">
        <f>IF(VLOOKUP($A12,Allocation!$A$2:$I$32,6)&gt;0,VLOOKUP($A12,Allocation!$A$2:$I$32,2)," ")</f>
        <v>Murphy, Alison</v>
      </c>
      <c r="D12" s="10"/>
      <c r="E12" s="113" t="str">
        <f>IF(OR(VLOOKUP($A12,Allocation!$A$2:$I$32,7)="",VLOOKUP($A12,Allocation!$A$2:$I$32,7)&lt;=3)," ",VLOOKUP($A12,Allocation!$A$2:$I$32,7))</f>
        <v xml:space="preserve"> </v>
      </c>
      <c r="F12" s="10" t="str">
        <f>IF(VLOOKUP($A12,Allocation!$A$2:$I$32,7)&gt;0,VLOOKUP($A12,Allocation!$A$2:$I$32,2)," ")</f>
        <v xml:space="preserve"> </v>
      </c>
      <c r="G12" s="10"/>
      <c r="H12" s="113" t="str">
        <f>IF(OR(VLOOKUP($A12,Allocation!$A$2:$I$32,8)="",VLOOKUP($A12,Allocation!$A$2:$I$32,8)&lt;=3)," ",VLOOKUP($A12,Allocation!$A$2:$I$32,8))</f>
        <v xml:space="preserve"> </v>
      </c>
      <c r="I12" s="10" t="str">
        <f>IF(VLOOKUP($A12,Allocation!$A$2:$I$32,8)&gt;0,VLOOKUP($A12,Allocation!$A$2:$I$32,2)," ")</f>
        <v xml:space="preserve"> </v>
      </c>
      <c r="J12" s="10"/>
      <c r="K12" s="113" t="str">
        <f>IF(OR(VLOOKUP($A12,Allocation!$A$2:$I$32,9)="",VLOOKUP($A12,Allocation!$A$2:$I$32,9)&lt;=3)," ",VLOOKUP($A12,Allocation!$A$2:$I$32,9))</f>
        <v xml:space="preserve"> </v>
      </c>
      <c r="L12" s="10" t="str">
        <f>IF(VLOOKUP($A12,Allocation!$A$2:$I$32,9)&gt;0,VLOOKUP($A12,Allocation!$A$2:$I$32,2)," ")</f>
        <v>Murphy, Alison</v>
      </c>
      <c r="M12" s="8"/>
    </row>
    <row r="13" spans="1:13" ht="15" customHeight="1">
      <c r="A13" s="13">
        <v>11</v>
      </c>
      <c r="B13" s="113" t="str">
        <f>IF(OR(VLOOKUP($A13,Allocation!$A$2:$I$32,6)="",VLOOKUP($A13,Allocation!$A$2:$I$32,6)&lt;=3)," ",VLOOKUP($A13,Allocation!$A$2:$I$32,6))</f>
        <v xml:space="preserve"> </v>
      </c>
      <c r="C13" s="10" t="str">
        <f>IF(VLOOKUP($A13,Allocation!$A$2:$I$32,6)&gt;0,VLOOKUP($A13,Allocation!$A$2:$I$32,2)," ")</f>
        <v>Angus, Janet</v>
      </c>
      <c r="D13" s="10"/>
      <c r="E13" s="113" t="str">
        <f>IF(OR(VLOOKUP($A13,Allocation!$A$2:$I$32,7)="",VLOOKUP($A13,Allocation!$A$2:$I$32,7)&lt;=3)," ",VLOOKUP($A13,Allocation!$A$2:$I$32,7))</f>
        <v xml:space="preserve"> </v>
      </c>
      <c r="F13" s="10" t="str">
        <f>IF(VLOOKUP($A13,Allocation!$A$2:$I$32,7)&gt;0,VLOOKUP($A13,Allocation!$A$2:$I$32,2)," ")</f>
        <v xml:space="preserve"> </v>
      </c>
      <c r="G13" s="10"/>
      <c r="H13" s="113" t="str">
        <f>IF(OR(VLOOKUP($A13,Allocation!$A$2:$I$32,8)="",VLOOKUP($A13,Allocation!$A$2:$I$32,8)&lt;=3)," ",VLOOKUP($A13,Allocation!$A$2:$I$32,8))</f>
        <v xml:space="preserve"> </v>
      </c>
      <c r="I13" s="10" t="str">
        <f>IF(VLOOKUP($A13,Allocation!$A$2:$I$32,8)&gt;0,VLOOKUP($A13,Allocation!$A$2:$I$32,2)," ")</f>
        <v xml:space="preserve"> </v>
      </c>
      <c r="J13" s="10"/>
      <c r="K13" s="113" t="str">
        <f>IF(OR(VLOOKUP($A13,Allocation!$A$2:$I$32,9)="",VLOOKUP($A13,Allocation!$A$2:$I$32,9)&lt;=3)," ",VLOOKUP($A13,Allocation!$A$2:$I$32,9))</f>
        <v xml:space="preserve"> </v>
      </c>
      <c r="L13" s="10" t="str">
        <f>IF(VLOOKUP($A13,Allocation!$A$2:$I$32,9)&gt;0,VLOOKUP($A13,Allocation!$A$2:$I$32,2)," ")</f>
        <v>Angus, Janet</v>
      </c>
      <c r="M13" s="8"/>
    </row>
    <row r="14" spans="1:13" ht="15" customHeight="1">
      <c r="A14" s="13">
        <v>12</v>
      </c>
      <c r="B14" s="113" t="str">
        <f>IF(OR(VLOOKUP($A14,Allocation!$A$2:$I$32,6)="",VLOOKUP($A14,Allocation!$A$2:$I$32,6)&lt;=3)," ",VLOOKUP($A14,Allocation!$A$2:$I$32,6))</f>
        <v>Sweep</v>
      </c>
      <c r="C14" s="10" t="str">
        <f>IF(VLOOKUP($A14,Allocation!$A$2:$I$32,6)&gt;0,VLOOKUP($A14,Allocation!$A$2:$I$32,2)," ")</f>
        <v>Rennie, Sarah-Jane</v>
      </c>
      <c r="D14" s="10"/>
      <c r="E14" s="113" t="str">
        <f>IF(OR(VLOOKUP($A14,Allocation!$A$2:$I$32,7)="",VLOOKUP($A14,Allocation!$A$2:$I$32,7)&lt;=3)," ",VLOOKUP($A14,Allocation!$A$2:$I$32,7))</f>
        <v xml:space="preserve"> </v>
      </c>
      <c r="F14" s="10" t="str">
        <f>IF(VLOOKUP($A14,Allocation!$A$2:$I$32,7)&gt;0,VLOOKUP($A14,Allocation!$A$2:$I$32,2)," ")</f>
        <v xml:space="preserve"> </v>
      </c>
      <c r="G14" s="10"/>
      <c r="H14" s="113" t="str">
        <f>IF(OR(VLOOKUP($A14,Allocation!$A$2:$I$32,8)="",VLOOKUP($A14,Allocation!$A$2:$I$32,8)&lt;=3)," ",VLOOKUP($A14,Allocation!$A$2:$I$32,8))</f>
        <v xml:space="preserve"> </v>
      </c>
      <c r="I14" s="10" t="str">
        <f>IF(VLOOKUP($A14,Allocation!$A$2:$I$32,8)&gt;0,VLOOKUP($A14,Allocation!$A$2:$I$32,2)," ")</f>
        <v xml:space="preserve"> </v>
      </c>
      <c r="J14" s="10"/>
      <c r="K14" s="113" t="str">
        <f>IF(OR(VLOOKUP($A14,Allocation!$A$2:$I$32,9)="",VLOOKUP($A14,Allocation!$A$2:$I$32,9)&lt;=3)," ",VLOOKUP($A14,Allocation!$A$2:$I$32,9))</f>
        <v>Sweep</v>
      </c>
      <c r="L14" s="10" t="str">
        <f>IF(VLOOKUP($A14,Allocation!$A$2:$I$32,9)&gt;0,VLOOKUP($A14,Allocation!$A$2:$I$32,2)," ")</f>
        <v>Rennie, Sarah-Jane</v>
      </c>
      <c r="M14" s="8"/>
    </row>
    <row r="15" spans="1:13" ht="15" customHeight="1">
      <c r="A15" s="13">
        <v>13</v>
      </c>
      <c r="B15" s="113" t="str">
        <f>IF(OR(VLOOKUP($A15,Allocation!$A$2:$I$32,6)="",VLOOKUP($A15,Allocation!$A$2:$I$32,6)&lt;=3)," ",VLOOKUP($A15,Allocation!$A$2:$I$32,6))</f>
        <v xml:space="preserve"> </v>
      </c>
      <c r="C15" s="10" t="str">
        <f>IF(VLOOKUP($A15,Allocation!$A$2:$I$32,6)&gt;0,VLOOKUP($A15,Allocation!$A$2:$I$32,2)," ")</f>
        <v xml:space="preserve"> </v>
      </c>
      <c r="D15" s="10"/>
      <c r="E15" s="113" t="str">
        <f>IF(OR(VLOOKUP($A15,Allocation!$A$2:$I$32,7)="",VLOOKUP($A15,Allocation!$A$2:$I$32,7)&lt;=3)," ",VLOOKUP($A15,Allocation!$A$2:$I$32,7))</f>
        <v xml:space="preserve"> </v>
      </c>
      <c r="F15" s="10" t="str">
        <f>IF(VLOOKUP($A15,Allocation!$A$2:$I$32,7)&gt;0,VLOOKUP($A15,Allocation!$A$2:$I$32,2)," ")</f>
        <v xml:space="preserve"> </v>
      </c>
      <c r="G15" s="10"/>
      <c r="H15" s="113" t="str">
        <f>IF(OR(VLOOKUP($A15,Allocation!$A$2:$I$32,8)="",VLOOKUP($A15,Allocation!$A$2:$I$32,8)&lt;=3)," ",VLOOKUP($A15,Allocation!$A$2:$I$32,8))</f>
        <v>Drum</v>
      </c>
      <c r="I15" s="10" t="str">
        <f>IF(VLOOKUP($A15,Allocation!$A$2:$I$32,8)&gt;0,VLOOKUP($A15,Allocation!$A$2:$I$32,2)," ")</f>
        <v>Tolhurst, Sue</v>
      </c>
      <c r="J15" s="10"/>
      <c r="K15" s="113" t="str">
        <f>IF(OR(VLOOKUP($A15,Allocation!$A$2:$I$32,9)="",VLOOKUP($A15,Allocation!$A$2:$I$32,9)&lt;=3)," ",VLOOKUP($A15,Allocation!$A$2:$I$32,9))</f>
        <v xml:space="preserve"> </v>
      </c>
      <c r="L15" s="10" t="str">
        <f>IF(VLOOKUP($A15,Allocation!$A$2:$I$32,9)&gt;0,VLOOKUP($A15,Allocation!$A$2:$I$32,2)," ")</f>
        <v>Tolhurst, Sue</v>
      </c>
      <c r="M15" s="8"/>
    </row>
    <row r="16" spans="1:13" ht="15" customHeight="1">
      <c r="A16" s="13">
        <v>14</v>
      </c>
      <c r="B16" s="113" t="str">
        <f>IF(OR(VLOOKUP($A16,Allocation!$A$2:$I$32,6)="",VLOOKUP($A16,Allocation!$A$2:$I$32,6)&lt;=3)," ",VLOOKUP($A16,Allocation!$A$2:$I$32,6))</f>
        <v xml:space="preserve"> </v>
      </c>
      <c r="C16" s="10" t="str">
        <f>IF(VLOOKUP($A16,Allocation!$A$2:$I$32,6)&gt;0,VLOOKUP($A16,Allocation!$A$2:$I$32,2)," ")</f>
        <v>Bauzon, Ma Divina Angela</v>
      </c>
      <c r="D16" s="10"/>
      <c r="E16" s="113" t="str">
        <f>IF(OR(VLOOKUP($A16,Allocation!$A$2:$I$32,7)="",VLOOKUP($A16,Allocation!$A$2:$I$32,7)&lt;=3)," ",VLOOKUP($A16,Allocation!$A$2:$I$32,7))</f>
        <v xml:space="preserve"> </v>
      </c>
      <c r="F16" s="10" t="str">
        <f>IF(VLOOKUP($A16,Allocation!$A$2:$I$32,7)&gt;0,VLOOKUP($A16,Allocation!$A$2:$I$32,2)," ")</f>
        <v xml:space="preserve"> </v>
      </c>
      <c r="G16" s="10"/>
      <c r="H16" s="113" t="str">
        <f>IF(OR(VLOOKUP($A16,Allocation!$A$2:$I$32,8)="",VLOOKUP($A16,Allocation!$A$2:$I$32,8)&lt;=3)," ",VLOOKUP($A16,Allocation!$A$2:$I$32,8))</f>
        <v xml:space="preserve"> </v>
      </c>
      <c r="I16" s="10" t="str">
        <f>IF(VLOOKUP($A16,Allocation!$A$2:$I$32,8)&gt;0,VLOOKUP($A16,Allocation!$A$2:$I$32,2)," ")</f>
        <v xml:space="preserve"> </v>
      </c>
      <c r="J16" s="10"/>
      <c r="K16" s="113" t="str">
        <f>IF(OR(VLOOKUP($A16,Allocation!$A$2:$I$32,9)="",VLOOKUP($A16,Allocation!$A$2:$I$32,9)&lt;=3)," ",VLOOKUP($A16,Allocation!$A$2:$I$32,9))</f>
        <v xml:space="preserve"> </v>
      </c>
      <c r="L16" s="10" t="str">
        <f>IF(VLOOKUP($A16,Allocation!$A$2:$I$32,9)&gt;0,VLOOKUP($A16,Allocation!$A$2:$I$32,2)," ")</f>
        <v>Bauzon, Ma Divina Angela</v>
      </c>
      <c r="M16" s="8"/>
    </row>
    <row r="17" spans="1:13" ht="15" customHeight="1">
      <c r="A17" s="13">
        <v>15</v>
      </c>
      <c r="B17" s="113" t="str">
        <f>IF(OR(VLOOKUP($A17,Allocation!$A$2:$I$32,6)="",VLOOKUP($A17,Allocation!$A$2:$I$32,6)&lt;=3)," ",VLOOKUP($A17,Allocation!$A$2:$I$32,6))</f>
        <v xml:space="preserve"> </v>
      </c>
      <c r="C17" s="10" t="str">
        <f>IF(VLOOKUP($A17,Allocation!$A$2:$I$32,6)&gt;0,VLOOKUP($A17,Allocation!$A$2:$I$32,2)," ")</f>
        <v>Cheok, Alice</v>
      </c>
      <c r="D17" s="10"/>
      <c r="E17" s="113" t="str">
        <f>IF(OR(VLOOKUP($A17,Allocation!$A$2:$I$32,7)="",VLOOKUP($A17,Allocation!$A$2:$I$32,7)&lt;=3)," ",VLOOKUP($A17,Allocation!$A$2:$I$32,7))</f>
        <v xml:space="preserve"> </v>
      </c>
      <c r="F17" s="10" t="str">
        <f>IF(VLOOKUP($A17,Allocation!$A$2:$I$32,7)&gt;0,VLOOKUP($A17,Allocation!$A$2:$I$32,2)," ")</f>
        <v xml:space="preserve"> </v>
      </c>
      <c r="G17" s="10"/>
      <c r="H17" s="113" t="str">
        <f>IF(OR(VLOOKUP($A17,Allocation!$A$2:$I$32,8)="",VLOOKUP($A17,Allocation!$A$2:$I$32,8)&lt;=3)," ",VLOOKUP($A17,Allocation!$A$2:$I$32,8))</f>
        <v xml:space="preserve"> </v>
      </c>
      <c r="I17" s="10" t="str">
        <f>IF(VLOOKUP($A17,Allocation!$A$2:$I$32,8)&gt;0,VLOOKUP($A17,Allocation!$A$2:$I$32,2)," ")</f>
        <v xml:space="preserve"> </v>
      </c>
      <c r="J17" s="10"/>
      <c r="K17" s="113" t="str">
        <f>IF(OR(VLOOKUP($A17,Allocation!$A$2:$I$32,9)="",VLOOKUP($A17,Allocation!$A$2:$I$32,9)&lt;=3)," ",VLOOKUP($A17,Allocation!$A$2:$I$32,9))</f>
        <v xml:space="preserve"> </v>
      </c>
      <c r="L17" s="10" t="str">
        <f>IF(VLOOKUP($A17,Allocation!$A$2:$I$32,9)&gt;0,VLOOKUP($A17,Allocation!$A$2:$I$32,2)," ")</f>
        <v>Cheok, Alice</v>
      </c>
      <c r="M17" s="8"/>
    </row>
    <row r="18" spans="1:13" ht="15" customHeight="1">
      <c r="A18" s="13">
        <v>16</v>
      </c>
      <c r="B18" s="113" t="str">
        <f>IF(OR(VLOOKUP($A18,Allocation!$A$2:$I$32,6)="",VLOOKUP($A18,Allocation!$A$2:$I$32,6)&lt;=3)," ",VLOOKUP($A18,Allocation!$A$2:$I$32,6))</f>
        <v xml:space="preserve"> </v>
      </c>
      <c r="C18" s="10" t="str">
        <f>IF(VLOOKUP($A18,Allocation!$A$2:$I$32,6)&gt;0,VLOOKUP($A18,Allocation!$A$2:$I$32,2)," ")</f>
        <v>Chiu, Miu</v>
      </c>
      <c r="D18" s="10"/>
      <c r="E18" s="113" t="str">
        <f>IF(OR(VLOOKUP($A18,Allocation!$A$2:$I$32,7)="",VLOOKUP($A18,Allocation!$A$2:$I$32,7)&lt;=3)," ",VLOOKUP($A18,Allocation!$A$2:$I$32,7))</f>
        <v xml:space="preserve"> </v>
      </c>
      <c r="F18" s="10" t="str">
        <f>IF(VLOOKUP($A18,Allocation!$A$2:$I$32,7)&gt;0,VLOOKUP($A18,Allocation!$A$2:$I$32,2)," ")</f>
        <v xml:space="preserve"> </v>
      </c>
      <c r="G18" s="10"/>
      <c r="H18" s="113" t="str">
        <f>IF(OR(VLOOKUP($A18,Allocation!$A$2:$I$32,8)="",VLOOKUP($A18,Allocation!$A$2:$I$32,8)&lt;=3)," ",VLOOKUP($A18,Allocation!$A$2:$I$32,8))</f>
        <v xml:space="preserve"> </v>
      </c>
      <c r="I18" s="10" t="str">
        <f>IF(VLOOKUP($A18,Allocation!$A$2:$I$32,8)&gt;0,VLOOKUP($A18,Allocation!$A$2:$I$32,2)," ")</f>
        <v xml:space="preserve"> </v>
      </c>
      <c r="J18" s="10"/>
      <c r="K18" s="113" t="str">
        <f>IF(OR(VLOOKUP($A18,Allocation!$A$2:$I$32,9)="",VLOOKUP($A18,Allocation!$A$2:$I$32,9)&lt;=3)," ",VLOOKUP($A18,Allocation!$A$2:$I$32,9))</f>
        <v xml:space="preserve"> </v>
      </c>
      <c r="L18" s="10" t="str">
        <f>IF(VLOOKUP($A18,Allocation!$A$2:$I$32,9)&gt;0,VLOOKUP($A18,Allocation!$A$2:$I$32,2)," ")</f>
        <v>Chiu, Miu</v>
      </c>
      <c r="M18" s="8"/>
    </row>
    <row r="19" spans="1:13" ht="15" customHeight="1">
      <c r="A19" s="13">
        <v>17</v>
      </c>
      <c r="B19" s="113" t="str">
        <f>IF(OR(VLOOKUP($A19,Allocation!$A$2:$I$32,6)="",VLOOKUP($A19,Allocation!$A$2:$I$32,6)&lt;=3)," ",VLOOKUP($A19,Allocation!$A$2:$I$32,6))</f>
        <v xml:space="preserve"> </v>
      </c>
      <c r="C19" s="10" t="str">
        <f>IF(VLOOKUP($A19,Allocation!$A$2:$I$32,6)&gt;0,VLOOKUP($A19,Allocation!$A$2:$I$32,2)," ")</f>
        <v xml:space="preserve"> </v>
      </c>
      <c r="D19" s="10"/>
      <c r="E19" s="113" t="str">
        <f>IF(OR(VLOOKUP($A19,Allocation!$A$2:$I$32,7)="",VLOOKUP($A19,Allocation!$A$2:$I$32,7)&lt;=3)," ",VLOOKUP($A19,Allocation!$A$2:$I$32,7))</f>
        <v xml:space="preserve"> </v>
      </c>
      <c r="F19" s="10" t="str">
        <f>IF(VLOOKUP($A19,Allocation!$A$2:$I$32,7)&gt;0,VLOOKUP($A19,Allocation!$A$2:$I$32,2)," ")</f>
        <v xml:space="preserve"> </v>
      </c>
      <c r="G19" s="10"/>
      <c r="H19" s="113" t="str">
        <f>IF(OR(VLOOKUP($A19,Allocation!$A$2:$I$32,8)="",VLOOKUP($A19,Allocation!$A$2:$I$32,8)&lt;=3)," ",VLOOKUP($A19,Allocation!$A$2:$I$32,8))</f>
        <v xml:space="preserve"> </v>
      </c>
      <c r="I19" s="10" t="str">
        <f>IF(VLOOKUP($A19,Allocation!$A$2:$I$32,8)&gt;0,VLOOKUP($A19,Allocation!$A$2:$I$32,2)," ")</f>
        <v>Dobner, Anne-Marie</v>
      </c>
      <c r="J19" s="10"/>
      <c r="K19" s="113" t="str">
        <f>IF(OR(VLOOKUP($A19,Allocation!$A$2:$I$32,9)="",VLOOKUP($A19,Allocation!$A$2:$I$32,9)&lt;=3)," ",VLOOKUP($A19,Allocation!$A$2:$I$32,9))</f>
        <v xml:space="preserve"> </v>
      </c>
      <c r="L19" s="10" t="str">
        <f>IF(VLOOKUP($A19,Allocation!$A$2:$I$32,9)&gt;0,VLOOKUP($A19,Allocation!$A$2:$I$32,2)," ")</f>
        <v>Dobner, Anne-Marie</v>
      </c>
      <c r="M19" s="8"/>
    </row>
    <row r="20" spans="1:13" ht="15" customHeight="1">
      <c r="A20" s="13">
        <v>18</v>
      </c>
      <c r="B20" s="113" t="str">
        <f>IF(OR(VLOOKUP($A20,Allocation!$A$2:$I$32,6)="",VLOOKUP($A20,Allocation!$A$2:$I$32,6)&lt;=3)," ",VLOOKUP($A20,Allocation!$A$2:$I$32,6))</f>
        <v xml:space="preserve"> </v>
      </c>
      <c r="C20" s="10" t="str">
        <f>IF(VLOOKUP($A20,Allocation!$A$2:$I$32,6)&gt;0,VLOOKUP($A20,Allocation!$A$2:$I$32,2)," ")</f>
        <v>Hasapis, Leah</v>
      </c>
      <c r="D20" s="10"/>
      <c r="E20" s="113" t="str">
        <f>IF(OR(VLOOKUP($A20,Allocation!$A$2:$I$32,7)="",VLOOKUP($A20,Allocation!$A$2:$I$32,7)&lt;=3)," ",VLOOKUP($A20,Allocation!$A$2:$I$32,7))</f>
        <v xml:space="preserve"> </v>
      </c>
      <c r="F20" s="10" t="str">
        <f>IF(VLOOKUP($A20,Allocation!$A$2:$I$32,7)&gt;0,VLOOKUP($A20,Allocation!$A$2:$I$32,2)," ")</f>
        <v xml:space="preserve"> </v>
      </c>
      <c r="G20" s="10"/>
      <c r="H20" s="113" t="str">
        <f>IF(OR(VLOOKUP($A20,Allocation!$A$2:$I$32,8)="",VLOOKUP($A20,Allocation!$A$2:$I$32,8)&lt;=3)," ",VLOOKUP($A20,Allocation!$A$2:$I$32,8))</f>
        <v xml:space="preserve"> </v>
      </c>
      <c r="I20" s="10" t="str">
        <f>IF(VLOOKUP($A20,Allocation!$A$2:$I$32,8)&gt;0,VLOOKUP($A20,Allocation!$A$2:$I$32,2)," ")</f>
        <v xml:space="preserve"> </v>
      </c>
      <c r="J20" s="10"/>
      <c r="K20" s="113" t="str">
        <f>IF(OR(VLOOKUP($A20,Allocation!$A$2:$I$32,9)="",VLOOKUP($A20,Allocation!$A$2:$I$32,9)&lt;=3)," ",VLOOKUP($A20,Allocation!$A$2:$I$32,9))</f>
        <v xml:space="preserve"> </v>
      </c>
      <c r="L20" s="10" t="str">
        <f>IF(VLOOKUP($A20,Allocation!$A$2:$I$32,9)&gt;0,VLOOKUP($A20,Allocation!$A$2:$I$32,2)," ")</f>
        <v>Hasapis, Leah</v>
      </c>
      <c r="M20" s="8"/>
    </row>
    <row r="21" spans="1:13" ht="15" customHeight="1">
      <c r="A21" s="13">
        <v>19</v>
      </c>
      <c r="B21" s="113" t="str">
        <f>IF(OR(VLOOKUP($A21,Allocation!$A$2:$I$32,6)="",VLOOKUP($A21,Allocation!$A$2:$I$32,6)&lt;=3)," ",VLOOKUP($A21,Allocation!$A$2:$I$32,6))</f>
        <v xml:space="preserve"> </v>
      </c>
      <c r="C21" s="10" t="str">
        <f>IF(VLOOKUP($A21,Allocation!$A$2:$I$32,6)&gt;0,VLOOKUP($A21,Allocation!$A$2:$I$32,2)," ")</f>
        <v xml:space="preserve"> </v>
      </c>
      <c r="D21" s="10"/>
      <c r="E21" s="113" t="str">
        <f>IF(OR(VLOOKUP($A21,Allocation!$A$2:$I$32,7)="",VLOOKUP($A21,Allocation!$A$2:$I$32,7)&lt;=3)," ",VLOOKUP($A21,Allocation!$A$2:$I$32,7))</f>
        <v xml:space="preserve"> </v>
      </c>
      <c r="F21" s="10" t="str">
        <f>IF(VLOOKUP($A21,Allocation!$A$2:$I$32,7)&gt;0,VLOOKUP($A21,Allocation!$A$2:$I$32,2)," ")</f>
        <v xml:space="preserve"> </v>
      </c>
      <c r="G21" s="10"/>
      <c r="H21" s="113" t="str">
        <f>IF(OR(VLOOKUP($A21,Allocation!$A$2:$I$32,8)="",VLOOKUP($A21,Allocation!$A$2:$I$32,8)&lt;=3)," ",VLOOKUP($A21,Allocation!$A$2:$I$32,8))</f>
        <v xml:space="preserve"> </v>
      </c>
      <c r="I21" s="10" t="str">
        <f>IF(VLOOKUP($A21,Allocation!$A$2:$I$32,8)&gt;0,VLOOKUP($A21,Allocation!$A$2:$I$32,2)," ")</f>
        <v>Holt, Rachael</v>
      </c>
      <c r="J21" s="10"/>
      <c r="K21" s="113" t="str">
        <f>IF(OR(VLOOKUP($A21,Allocation!$A$2:$I$32,9)="",VLOOKUP($A21,Allocation!$A$2:$I$32,9)&lt;=3)," ",VLOOKUP($A21,Allocation!$A$2:$I$32,9))</f>
        <v xml:space="preserve"> </v>
      </c>
      <c r="L21" s="10" t="str">
        <f>IF(VLOOKUP($A21,Allocation!$A$2:$I$32,9)&gt;0,VLOOKUP($A21,Allocation!$A$2:$I$32,2)," ")</f>
        <v>Holt, Rachael</v>
      </c>
      <c r="M21" s="8"/>
    </row>
    <row r="22" spans="1:13" ht="15" customHeight="1">
      <c r="A22" s="13">
        <v>20</v>
      </c>
      <c r="B22" s="113" t="str">
        <f>IF(OR(VLOOKUP($A22,Allocation!$A$2:$I$32,6)="",VLOOKUP($A22,Allocation!$A$2:$I$32,6)&lt;=3)," ",VLOOKUP($A22,Allocation!$A$2:$I$32,6))</f>
        <v xml:space="preserve"> </v>
      </c>
      <c r="C22" s="10" t="str">
        <f>IF(VLOOKUP($A22,Allocation!$A$2:$I$32,6)&gt;0,VLOOKUP($A22,Allocation!$A$2:$I$32,2)," ")</f>
        <v xml:space="preserve"> </v>
      </c>
      <c r="D22" s="10"/>
      <c r="E22" s="113" t="str">
        <f>IF(OR(VLOOKUP($A22,Allocation!$A$2:$I$32,7)="",VLOOKUP($A22,Allocation!$A$2:$I$32,7)&lt;=3)," ",VLOOKUP($A22,Allocation!$A$2:$I$32,7))</f>
        <v xml:space="preserve"> </v>
      </c>
      <c r="F22" s="10" t="str">
        <f>IF(VLOOKUP($A22,Allocation!$A$2:$I$32,7)&gt;0,VLOOKUP($A22,Allocation!$A$2:$I$32,2)," ")</f>
        <v xml:space="preserve"> </v>
      </c>
      <c r="G22" s="10"/>
      <c r="H22" s="113" t="str">
        <f>IF(OR(VLOOKUP($A22,Allocation!$A$2:$I$32,8)="",VLOOKUP($A22,Allocation!$A$2:$I$32,8)&lt;=3)," ",VLOOKUP($A22,Allocation!$A$2:$I$32,8))</f>
        <v xml:space="preserve"> </v>
      </c>
      <c r="I22" s="10" t="str">
        <f>IF(VLOOKUP($A22,Allocation!$A$2:$I$32,8)&gt;0,VLOOKUP($A22,Allocation!$A$2:$I$32,2)," ")</f>
        <v>McKenna, Elizabeth</v>
      </c>
      <c r="J22" s="10"/>
      <c r="K22" s="113" t="str">
        <f>IF(OR(VLOOKUP($A22,Allocation!$A$2:$I$32,9)="",VLOOKUP($A22,Allocation!$A$2:$I$32,9)&lt;=3)," ",VLOOKUP($A22,Allocation!$A$2:$I$32,9))</f>
        <v xml:space="preserve"> </v>
      </c>
      <c r="L22" s="10" t="str">
        <f>IF(VLOOKUP($A22,Allocation!$A$2:$I$32,9)&gt;0,VLOOKUP($A22,Allocation!$A$2:$I$32,2)," ")</f>
        <v>McKenna, Elizabeth</v>
      </c>
      <c r="M22" s="8"/>
    </row>
    <row r="23" spans="1:13" ht="15" customHeight="1">
      <c r="A23" s="13">
        <v>21</v>
      </c>
      <c r="B23" s="113" t="str">
        <f>IF(OR(VLOOKUP($A23,Allocation!$A$2:$I$32,6)="",VLOOKUP($A23,Allocation!$A$2:$I$32,6)&lt;=3)," ",VLOOKUP($A23,Allocation!$A$2:$I$32,6))</f>
        <v xml:space="preserve"> </v>
      </c>
      <c r="C23" s="10" t="str">
        <f>IF(VLOOKUP($A23,Allocation!$A$2:$I$32,6)&gt;0,VLOOKUP($A23,Allocation!$A$2:$I$32,2)," ")</f>
        <v>Rai, Rohini</v>
      </c>
      <c r="D23" s="10"/>
      <c r="E23" s="113" t="str">
        <f>IF(OR(VLOOKUP($A23,Allocation!$A$2:$I$32,7)="",VLOOKUP($A23,Allocation!$A$2:$I$32,7)&lt;=3)," ",VLOOKUP($A23,Allocation!$A$2:$I$32,7))</f>
        <v xml:space="preserve"> </v>
      </c>
      <c r="F23" s="10" t="str">
        <f>IF(VLOOKUP($A23,Allocation!$A$2:$I$32,7)&gt;0,VLOOKUP($A23,Allocation!$A$2:$I$32,2)," ")</f>
        <v xml:space="preserve"> </v>
      </c>
      <c r="G23" s="10"/>
      <c r="H23" s="113" t="str">
        <f>IF(OR(VLOOKUP($A23,Allocation!$A$2:$I$32,8)="",VLOOKUP($A23,Allocation!$A$2:$I$32,8)&lt;=3)," ",VLOOKUP($A23,Allocation!$A$2:$I$32,8))</f>
        <v xml:space="preserve"> </v>
      </c>
      <c r="I23" s="10" t="str">
        <f>IF(VLOOKUP($A23,Allocation!$A$2:$I$32,8)&gt;0,VLOOKUP($A23,Allocation!$A$2:$I$32,2)," ")</f>
        <v xml:space="preserve"> </v>
      </c>
      <c r="J23" s="10"/>
      <c r="K23" s="113" t="str">
        <f>IF(OR(VLOOKUP($A23,Allocation!$A$2:$I$32,9)="",VLOOKUP($A23,Allocation!$A$2:$I$32,9)&lt;=3)," ",VLOOKUP($A23,Allocation!$A$2:$I$32,9))</f>
        <v xml:space="preserve"> </v>
      </c>
      <c r="L23" s="10" t="str">
        <f>IF(VLOOKUP($A23,Allocation!$A$2:$I$32,9)&gt;0,VLOOKUP($A23,Allocation!$A$2:$I$32,2)," ")</f>
        <v>Rai, Rohini</v>
      </c>
      <c r="M23" s="8"/>
    </row>
    <row r="24" spans="1:13" ht="15" customHeight="1">
      <c r="A24" s="13">
        <v>22</v>
      </c>
      <c r="B24" s="113" t="str">
        <f>IF(OR(VLOOKUP($A24,Allocation!$A$2:$I$32,6)="",VLOOKUP($A24,Allocation!$A$2:$I$32,6)&lt;=3)," ",VLOOKUP($A24,Allocation!$A$2:$I$32,6))</f>
        <v xml:space="preserve"> </v>
      </c>
      <c r="C24" s="10" t="str">
        <f>IF(VLOOKUP($A24,Allocation!$A$2:$I$32,6)&gt;0,VLOOKUP($A24,Allocation!$A$2:$I$32,2)," ")</f>
        <v xml:space="preserve"> </v>
      </c>
      <c r="D24" s="10"/>
      <c r="E24" s="113" t="str">
        <f>IF(OR(VLOOKUP($A24,Allocation!$A$2:$I$32,7)="",VLOOKUP($A24,Allocation!$A$2:$I$32,7)&lt;=3)," ",VLOOKUP($A24,Allocation!$A$2:$I$32,7))</f>
        <v xml:space="preserve"> </v>
      </c>
      <c r="F24" s="10" t="str">
        <f>IF(VLOOKUP($A24,Allocation!$A$2:$I$32,7)&gt;0,VLOOKUP($A24,Allocation!$A$2:$I$32,2)," ")</f>
        <v xml:space="preserve"> </v>
      </c>
      <c r="G24" s="10"/>
      <c r="H24" s="113" t="str">
        <f>IF(OR(VLOOKUP($A24,Allocation!$A$2:$I$32,8)="",VLOOKUP($A24,Allocation!$A$2:$I$32,8)&lt;=3)," ",VLOOKUP($A24,Allocation!$A$2:$I$32,8))</f>
        <v xml:space="preserve"> </v>
      </c>
      <c r="I24" s="10" t="str">
        <f>IF(VLOOKUP($A24,Allocation!$A$2:$I$32,8)&gt;0,VLOOKUP($A24,Allocation!$A$2:$I$32,2)," ")</f>
        <v>Steel, Alice</v>
      </c>
      <c r="J24" s="10"/>
      <c r="K24" s="113" t="str">
        <f>IF(OR(VLOOKUP($A24,Allocation!$A$2:$I$32,9)="",VLOOKUP($A24,Allocation!$A$2:$I$32,9)&lt;=3)," ",VLOOKUP($A24,Allocation!$A$2:$I$32,9))</f>
        <v>Drum</v>
      </c>
      <c r="L24" s="10" t="str">
        <f>IF(VLOOKUP($A24,Allocation!$A$2:$I$32,9)&gt;0,VLOOKUP($A24,Allocation!$A$2:$I$32,2)," ")</f>
        <v>Steel, Alice</v>
      </c>
      <c r="M24" s="8"/>
    </row>
    <row r="25" spans="1:13" ht="15" customHeight="1">
      <c r="A25" s="13">
        <v>23</v>
      </c>
      <c r="B25" s="113" t="str">
        <f>IF(OR(VLOOKUP($A25,Allocation!$A$2:$I$32,6)="",VLOOKUP($A25,Allocation!$A$2:$I$32,6)&lt;=3)," ",VLOOKUP($A25,Allocation!$A$2:$I$32,6))</f>
        <v xml:space="preserve"> </v>
      </c>
      <c r="C25" s="10" t="str">
        <f>IF(VLOOKUP($A25,Allocation!$A$2:$I$32,6)&gt;0,VLOOKUP($A25,Allocation!$A$2:$I$32,2)," ")</f>
        <v>Constantinou, Lianna</v>
      </c>
      <c r="D25" s="10"/>
      <c r="E25" s="113" t="str">
        <f>IF(OR(VLOOKUP($A25,Allocation!$A$2:$I$32,7)="",VLOOKUP($A25,Allocation!$A$2:$I$32,7)&lt;=3)," ",VLOOKUP($A25,Allocation!$A$2:$I$32,7))</f>
        <v xml:space="preserve"> </v>
      </c>
      <c r="F25" s="10" t="str">
        <f>IF(VLOOKUP($A25,Allocation!$A$2:$I$32,7)&gt;0,VLOOKUP($A25,Allocation!$A$2:$I$32,2)," ")</f>
        <v xml:space="preserve"> </v>
      </c>
      <c r="G25" s="10"/>
      <c r="H25" s="113" t="str">
        <f>IF(OR(VLOOKUP($A25,Allocation!$A$2:$I$32,8)="",VLOOKUP($A25,Allocation!$A$2:$I$32,8)&lt;=3)," ",VLOOKUP($A25,Allocation!$A$2:$I$32,8))</f>
        <v xml:space="preserve"> </v>
      </c>
      <c r="I25" s="10" t="str">
        <f>IF(VLOOKUP($A25,Allocation!$A$2:$I$32,8)&gt;0,VLOOKUP($A25,Allocation!$A$2:$I$32,2)," ")</f>
        <v xml:space="preserve"> </v>
      </c>
      <c r="J25" s="10"/>
      <c r="K25" s="113" t="str">
        <f>IF(OR(VLOOKUP($A25,Allocation!$A$2:$I$32,9)="",VLOOKUP($A25,Allocation!$A$2:$I$32,9)&lt;=3)," ",VLOOKUP($A25,Allocation!$A$2:$I$32,9))</f>
        <v xml:space="preserve"> </v>
      </c>
      <c r="L25" s="10" t="str">
        <f>IF(VLOOKUP($A25,Allocation!$A$2:$I$32,9)&gt;0,VLOOKUP($A25,Allocation!$A$2:$I$32,2)," ")</f>
        <v>Constantinou, Lianna</v>
      </c>
      <c r="M25" s="8"/>
    </row>
    <row r="26" spans="1:13" ht="15" customHeight="1">
      <c r="A26" s="13">
        <v>24</v>
      </c>
      <c r="B26" s="113" t="str">
        <f>IF(OR(VLOOKUP($A26,Allocation!$A$2:$I$32,6)="",VLOOKUP($A26,Allocation!$A$2:$I$32,6)&lt;=3)," ",VLOOKUP($A26,Allocation!$A$2:$I$32,6))</f>
        <v xml:space="preserve"> </v>
      </c>
      <c r="C26" s="10" t="str">
        <f>IF(VLOOKUP($A26,Allocation!$A$2:$I$32,6)&gt;0,VLOOKUP($A26,Allocation!$A$2:$I$32,2)," ")</f>
        <v>Hemming, Michael</v>
      </c>
      <c r="D26" s="10"/>
      <c r="E26" s="113" t="str">
        <f>IF(OR(VLOOKUP($A26,Allocation!$A$2:$I$32,7)="",VLOOKUP($A26,Allocation!$A$2:$I$32,7)&lt;=3)," ",VLOOKUP($A26,Allocation!$A$2:$I$32,7))</f>
        <v xml:space="preserve"> </v>
      </c>
      <c r="F26" s="10" t="str">
        <f>IF(VLOOKUP($A26,Allocation!$A$2:$I$32,7)&gt;0,VLOOKUP($A26,Allocation!$A$2:$I$32,2)," ")</f>
        <v xml:space="preserve"> </v>
      </c>
      <c r="G26" s="10"/>
      <c r="H26" s="113" t="str">
        <f>IF(OR(VLOOKUP($A26,Allocation!$A$2:$I$32,8)="",VLOOKUP($A26,Allocation!$A$2:$I$32,8)&lt;=3)," ",VLOOKUP($A26,Allocation!$A$2:$I$32,8))</f>
        <v xml:space="preserve"> </v>
      </c>
      <c r="I26" s="10" t="str">
        <f>IF(VLOOKUP($A26,Allocation!$A$2:$I$32,8)&gt;0,VLOOKUP($A26,Allocation!$A$2:$I$32,2)," ")</f>
        <v>Hemming, Michael</v>
      </c>
      <c r="J26" s="10"/>
      <c r="K26" s="113" t="str">
        <f>IF(OR(VLOOKUP($A26,Allocation!$A$2:$I$32,9)="",VLOOKUP($A26,Allocation!$A$2:$I$32,9)&lt;=3)," ",VLOOKUP($A26,Allocation!$A$2:$I$32,9))</f>
        <v xml:space="preserve"> </v>
      </c>
      <c r="L26" s="10" t="str">
        <f>IF(VLOOKUP($A26,Allocation!$A$2:$I$32,9)&gt;0,VLOOKUP($A26,Allocation!$A$2:$I$32,2)," ")</f>
        <v xml:space="preserve"> </v>
      </c>
      <c r="M26" s="8"/>
    </row>
    <row r="27" spans="1:13" ht="15" customHeight="1">
      <c r="A27" s="13">
        <v>25</v>
      </c>
      <c r="B27" s="113" t="str">
        <f>IF(OR(VLOOKUP($A27,Allocation!$A$2:$I$32,6)="",VLOOKUP($A27,Allocation!$A$2:$I$32,6)&lt;=3)," ",VLOOKUP($A27,Allocation!$A$2:$I$32,6))</f>
        <v xml:space="preserve"> </v>
      </c>
      <c r="C27" s="10" t="str">
        <f>IF(VLOOKUP($A27,Allocation!$A$2:$I$32,6)&gt;0,VLOOKUP($A27,Allocation!$A$2:$I$32,2)," ")</f>
        <v>Boerma, Andrew</v>
      </c>
      <c r="D27" s="9"/>
      <c r="E27" s="113" t="str">
        <f>IF(OR(VLOOKUP($A27,Allocation!$A$2:$I$32,7)="",VLOOKUP($A27,Allocation!$A$2:$I$32,7)&lt;=3)," ",VLOOKUP($A27,Allocation!$A$2:$I$32,7))</f>
        <v xml:space="preserve"> </v>
      </c>
      <c r="F27" s="10" t="str">
        <f>IF(VLOOKUP($A27,Allocation!$A$2:$I$32,7)&gt;0,VLOOKUP($A27,Allocation!$A$2:$I$32,2)," ")</f>
        <v xml:space="preserve"> </v>
      </c>
      <c r="G27" s="9"/>
      <c r="H27" s="113" t="str">
        <f>IF(OR(VLOOKUP($A27,Allocation!$A$2:$I$32,8)="",VLOOKUP($A27,Allocation!$A$2:$I$32,8)&lt;=3)," ",VLOOKUP($A27,Allocation!$A$2:$I$32,8))</f>
        <v xml:space="preserve"> </v>
      </c>
      <c r="I27" s="10" t="str">
        <f>IF(VLOOKUP($A27,Allocation!$A$2:$I$32,8)&gt;0,VLOOKUP($A27,Allocation!$A$2:$I$32,2)," ")</f>
        <v>Boerma, Andrew</v>
      </c>
      <c r="J27" s="9"/>
      <c r="K27" s="113" t="str">
        <f>IF(OR(VLOOKUP($A27,Allocation!$A$2:$I$32,9)="",VLOOKUP($A27,Allocation!$A$2:$I$32,9)&lt;=3)," ",VLOOKUP($A27,Allocation!$A$2:$I$32,9))</f>
        <v xml:space="preserve"> </v>
      </c>
      <c r="L27" s="10" t="str">
        <f>IF(VLOOKUP($A27,Allocation!$A$2:$I$32,9)&gt;0,VLOOKUP($A27,Allocation!$A$2:$I$32,2)," ")</f>
        <v xml:space="preserve"> </v>
      </c>
      <c r="M27" s="8"/>
    </row>
    <row r="28" spans="1:13" ht="15" customHeight="1">
      <c r="A28" s="13">
        <v>26</v>
      </c>
      <c r="B28" s="113" t="str">
        <f>IF(OR(VLOOKUP($A28,Allocation!$A$2:$I$32,6)="",VLOOKUP($A28,Allocation!$A$2:$I$32,6)&lt;=3)," ",VLOOKUP($A28,Allocation!$A$2:$I$32,6))</f>
        <v xml:space="preserve"> </v>
      </c>
      <c r="C28" s="10" t="str">
        <f>IF(VLOOKUP($A28,Allocation!$A$2:$I$32,6)&gt;0,VLOOKUP($A28,Allocation!$A$2:$I$32,2)," ")</f>
        <v>Escalona, Diego</v>
      </c>
      <c r="D28" s="9"/>
      <c r="E28" s="113" t="str">
        <f>IF(OR(VLOOKUP($A28,Allocation!$A$2:$I$32,7)="",VLOOKUP($A28,Allocation!$A$2:$I$32,7)&lt;=3)," ",VLOOKUP($A28,Allocation!$A$2:$I$32,7))</f>
        <v xml:space="preserve"> </v>
      </c>
      <c r="F28" s="10" t="str">
        <f>IF(VLOOKUP($A28,Allocation!$A$2:$I$32,7)&gt;0,VLOOKUP($A28,Allocation!$A$2:$I$32,2)," ")</f>
        <v xml:space="preserve"> </v>
      </c>
      <c r="G28" s="9"/>
      <c r="H28" s="113" t="str">
        <f>IF(OR(VLOOKUP($A28,Allocation!$A$2:$I$32,8)="",VLOOKUP($A28,Allocation!$A$2:$I$32,8)&lt;=3)," ",VLOOKUP($A28,Allocation!$A$2:$I$32,8))</f>
        <v xml:space="preserve"> </v>
      </c>
      <c r="I28" s="10" t="str">
        <f>IF(VLOOKUP($A28,Allocation!$A$2:$I$32,8)&gt;0,VLOOKUP($A28,Allocation!$A$2:$I$32,2)," ")</f>
        <v>Escalona, Diego</v>
      </c>
      <c r="J28" s="9"/>
      <c r="K28" s="113" t="str">
        <f>IF(OR(VLOOKUP($A28,Allocation!$A$2:$I$32,9)="",VLOOKUP($A28,Allocation!$A$2:$I$32,9)&lt;=3)," ",VLOOKUP($A28,Allocation!$A$2:$I$32,9))</f>
        <v xml:space="preserve"> </v>
      </c>
      <c r="L28" s="10" t="str">
        <f>IF(VLOOKUP($A28,Allocation!$A$2:$I$32,9)&gt;0,VLOOKUP($A28,Allocation!$A$2:$I$32,2)," ")</f>
        <v xml:space="preserve"> </v>
      </c>
      <c r="M28" s="8"/>
    </row>
    <row r="30" spans="1:13" ht="15" customHeight="1">
      <c r="B30"/>
      <c r="C30"/>
      <c r="D30"/>
    </row>
    <row r="31" spans="1:13" ht="15" customHeight="1">
      <c r="B31"/>
      <c r="C31"/>
      <c r="D31"/>
    </row>
    <row r="32" spans="1:13" ht="15" customHeight="1">
      <c r="B32"/>
      <c r="C32"/>
      <c r="D32"/>
    </row>
    <row r="33" spans="2:4" ht="15" customHeight="1">
      <c r="B33"/>
      <c r="C33"/>
      <c r="D33"/>
    </row>
    <row r="34" spans="2:4" ht="15" customHeight="1">
      <c r="B34"/>
      <c r="C34"/>
      <c r="D34"/>
    </row>
    <row r="35" spans="2:4" ht="15" customHeight="1">
      <c r="B35"/>
      <c r="C35"/>
      <c r="D35"/>
    </row>
    <row r="36" spans="2:4" ht="15" customHeight="1">
      <c r="B36"/>
      <c r="C36"/>
      <c r="D36"/>
    </row>
    <row r="37" spans="2:4" ht="15" customHeight="1">
      <c r="B37"/>
      <c r="C37"/>
      <c r="D37"/>
    </row>
    <row r="38" spans="2:4" ht="15" customHeight="1">
      <c r="B38"/>
      <c r="C38"/>
      <c r="D38"/>
    </row>
    <row r="39" spans="2:4" ht="15" customHeight="1">
      <c r="B39"/>
      <c r="C39"/>
      <c r="D39"/>
    </row>
    <row r="40" spans="2:4" ht="15" customHeight="1">
      <c r="B40"/>
      <c r="C40"/>
      <c r="D40"/>
    </row>
    <row r="41" spans="2:4" ht="15" customHeight="1">
      <c r="B41"/>
      <c r="C41"/>
      <c r="D41"/>
    </row>
    <row r="42" spans="2:4" ht="15" customHeight="1">
      <c r="B42"/>
      <c r="C42"/>
      <c r="D42"/>
    </row>
    <row r="43" spans="2:4" ht="15" customHeight="1">
      <c r="B43"/>
      <c r="C43"/>
      <c r="D43"/>
    </row>
    <row r="44" spans="2:4" ht="15" customHeight="1">
      <c r="B44"/>
      <c r="C44"/>
    </row>
    <row r="45" spans="2:4" ht="15" customHeight="1">
      <c r="B45"/>
      <c r="C45"/>
    </row>
    <row r="46" spans="2:4" ht="15" customHeight="1">
      <c r="B46"/>
      <c r="C46"/>
    </row>
    <row r="47" spans="2:4" ht="15" customHeight="1">
      <c r="B47"/>
      <c r="C47"/>
    </row>
    <row r="48" spans="2:4" ht="15" customHeight="1">
      <c r="B48"/>
      <c r="C48"/>
    </row>
    <row r="49" spans="2:3" ht="15" customHeight="1">
      <c r="B49"/>
      <c r="C49"/>
    </row>
    <row r="50" spans="2:3" ht="15" customHeight="1">
      <c r="B50"/>
      <c r="C50"/>
    </row>
  </sheetData>
  <sheetProtection algorithmName="SHA-512" hashValue="eMjbVvQFrv8ONzYLEIRaiew97gJIySba65JNz7hcqF1G+G5ayErEo74dLucMBan81KQSIq4FrpOmoolf6jzllg==" saltValue="URR2xbux0PQ3yIJkyYppKQ==" spinCount="100000" sheet="1" objects="1" scenarios="1"/>
  <mergeCells count="4">
    <mergeCell ref="K1:L1"/>
    <mergeCell ref="B1:C1"/>
    <mergeCell ref="H1:I1"/>
    <mergeCell ref="E1:F1"/>
  </mergeCells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Master sheet - do not change</vt:lpstr>
      <vt:lpstr>START HERE</vt:lpstr>
      <vt:lpstr>Allocation</vt:lpstr>
      <vt:lpstr>Prem Mix</vt:lpstr>
      <vt:lpstr>Master Mix</vt:lpstr>
      <vt:lpstr>Prem Open</vt:lpstr>
      <vt:lpstr>Prem Women</vt:lpstr>
      <vt:lpstr>To print</vt:lpstr>
      <vt:lpstr>For Paul</vt:lpstr>
      <vt:lpstr>'To print'!Print_Area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 Valouch</dc:creator>
  <cp:lastModifiedBy>Petr Valouch</cp:lastModifiedBy>
  <cp:lastPrinted>2024-02-16T02:02:34Z</cp:lastPrinted>
  <dcterms:created xsi:type="dcterms:W3CDTF">2019-09-04T02:33:48Z</dcterms:created>
  <dcterms:modified xsi:type="dcterms:W3CDTF">2024-02-16T02:03:28Z</dcterms:modified>
</cp:coreProperties>
</file>